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Fund Register" sheetId="2" state="visible" r:id="rId4"/>
    <sheet name="Transactions" sheetId="3" state="visible" r:id="rId5"/>
    <sheet name="Reconciliation" sheetId="4" state="visible" r:id="rId6"/>
    <sheet name="Pivot Summary" sheetId="5" state="visible" r:id="rId7"/>
    <sheet name="_ChartData" sheetId="6" state="hidden" r:id="rId8"/>
    <sheet name="Char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<sst xmlns="http://schemas.openxmlformats.org/spreadsheetml/2006/main" count="1217" uniqueCount="258">
  <si>
    <t xml:space="preserve">FUND MANAGEMENT &amp; RECONCILIATION DASHBOARD</t>
  </si>
  <si>
    <t xml:space="preserve">Fiscal Year 2025  •  Multi-Fund Portfolio  •  Prepared by: Thomas McCoy, Senior Accountant</t>
  </si>
  <si>
    <t xml:space="preserve">TOTAL FUNDS MANAGED</t>
  </si>
  <si>
    <t xml:space="preserve">YTD EXPENDITURES</t>
  </si>
  <si>
    <t xml:space="preserve">ACTIVE FUNDS</t>
  </si>
  <si>
    <t xml:space="preserve">RECONCILIATION STATUS</t>
  </si>
  <si>
    <t xml:space="preserve">FUND BALANCES SUMMARY</t>
  </si>
  <si>
    <t xml:space="preserve">Fund Code</t>
  </si>
  <si>
    <t xml:space="preserve">Fund Name</t>
  </si>
  <si>
    <t xml:space="preserve">Category</t>
  </si>
  <si>
    <t xml:space="preserve">Opening Balance</t>
  </si>
  <si>
    <t xml:space="preserve">Inflows (YTD)</t>
  </si>
  <si>
    <t xml:space="preserve">Outflows (YTD)</t>
  </si>
  <si>
    <t xml:space="preserve">Current Balance</t>
  </si>
  <si>
    <t xml:space="preserve">Utilization %</t>
  </si>
  <si>
    <t xml:space="preserve">GF-001</t>
  </si>
  <si>
    <t xml:space="preserve">General Operating Fund</t>
  </si>
  <si>
    <t xml:space="preserve">State</t>
  </si>
  <si>
    <t xml:space="preserve">FG-204</t>
  </si>
  <si>
    <t xml:space="preserve">Federal Grant - Community Dev</t>
  </si>
  <si>
    <t xml:space="preserve">Federal</t>
  </si>
  <si>
    <t xml:space="preserve">FG-315</t>
  </si>
  <si>
    <t xml:space="preserve">Federal Grant - Workforce Initiative</t>
  </si>
  <si>
    <t xml:space="preserve">TR-101</t>
  </si>
  <si>
    <t xml:space="preserve">Governor's Office Travel Fund</t>
  </si>
  <si>
    <t xml:space="preserve">EV-050</t>
  </si>
  <si>
    <t xml:space="preserve">Annual Stakeholder Event Fund</t>
  </si>
  <si>
    <t xml:space="preserve">Event</t>
  </si>
  <si>
    <t xml:space="preserve">CM-440</t>
  </si>
  <si>
    <t xml:space="preserve">Capital Maintenance Fund</t>
  </si>
  <si>
    <t xml:space="preserve">SG-112</t>
  </si>
  <si>
    <t xml:space="preserve">Subgrantee Pass-Through Fund</t>
  </si>
  <si>
    <t xml:space="preserve">OP-220</t>
  </si>
  <si>
    <t xml:space="preserve">Agency Operations Fund</t>
  </si>
  <si>
    <t xml:space="preserve">TOTAL</t>
  </si>
  <si>
    <t xml:space="preserve">CONTROLS &amp; NOTES</t>
  </si>
  <si>
    <t xml:space="preserve">• All fund balances are reconciled monthly against AZ360 State Accounting System ledger entries.</t>
  </si>
  <si>
    <t xml:space="preserve">• Utilization % highlighted in green (healthy), amber (caution &gt;60%), red (review &gt;85%).</t>
  </si>
  <si>
    <t xml:space="preserve">• Federal fund drawdowns processed via ACH in compliance with 2 CFR 200 and SAAM guidance.</t>
  </si>
  <si>
    <t xml:space="preserve">• Inflows and outflows pull dynamically from the Transactions ledger via SUMIFS.</t>
  </si>
  <si>
    <t xml:space="preserve">FUND REGISTER</t>
  </si>
  <si>
    <t xml:space="preserve">Master list of all fund codes, categories, and authorization details</t>
  </si>
  <si>
    <t xml:space="preserve">FY Start</t>
  </si>
  <si>
    <t xml:space="preserve">FY End</t>
  </si>
  <si>
    <t xml:space="preserve">Budget Authority</t>
  </si>
  <si>
    <t xml:space="preserve">Status</t>
  </si>
  <si>
    <t xml:space="preserve">Manager</t>
  </si>
  <si>
    <t xml:space="preserve">07/01/2024</t>
  </si>
  <si>
    <t xml:space="preserve">06/30/2025</t>
  </si>
  <si>
    <t xml:space="preserve">Active</t>
  </si>
  <si>
    <t xml:space="preserve">T. McCoy</t>
  </si>
  <si>
    <t xml:space="preserve">10/01/2024</t>
  </si>
  <si>
    <t xml:space="preserve">09/30/2025</t>
  </si>
  <si>
    <t xml:space="preserve">TRANSACTIONS LEDGER</t>
  </si>
  <si>
    <t xml:space="preserve">Detailed transaction register — all entries tied to fund codes for SUMIFS aggregation</t>
  </si>
  <si>
    <t xml:space="preserve">Date</t>
  </si>
  <si>
    <t xml:space="preserve">Description</t>
  </si>
  <si>
    <t xml:space="preserve">Type</t>
  </si>
  <si>
    <t xml:space="preserve">Amount</t>
  </si>
  <si>
    <t xml:space="preserve">Vendor/Source</t>
  </si>
  <si>
    <t xml:space="preserve">GL Account</t>
  </si>
  <si>
    <t xml:space="preserve">01/15/2025</t>
  </si>
  <si>
    <t xml:space="preserve">Program Materials</t>
  </si>
  <si>
    <t xml:space="preserve">Outflow</t>
  </si>
  <si>
    <t xml:space="preserve">Print Pro</t>
  </si>
  <si>
    <t xml:space="preserve">7020-Materials</t>
  </si>
  <si>
    <t xml:space="preserve">Federal Drawdown</t>
  </si>
  <si>
    <t xml:space="preserve">Inflow</t>
  </si>
  <si>
    <t xml:space="preserve">US Treasury</t>
  </si>
  <si>
    <t xml:space="preserve">4100-Fed Draw</t>
  </si>
  <si>
    <t xml:space="preserve">State Appropriation</t>
  </si>
  <si>
    <t xml:space="preserve">State Treasurer</t>
  </si>
  <si>
    <t xml:space="preserve">4010-Approp</t>
  </si>
  <si>
    <t xml:space="preserve">01/28/2025</t>
  </si>
  <si>
    <t xml:space="preserve">Facility Repair</t>
  </si>
  <si>
    <t xml:space="preserve">Johnson Controls</t>
  </si>
  <si>
    <t xml:space="preserve">5610-Repair</t>
  </si>
  <si>
    <t xml:space="preserve">Sponsor Revenue</t>
  </si>
  <si>
    <t xml:space="preserve">Sponsor Partners</t>
  </si>
  <si>
    <t xml:space="preserve">4040-Sponsor</t>
  </si>
  <si>
    <t xml:space="preserve">Venue Rental</t>
  </si>
  <si>
    <t xml:space="preserve">Phoenix Convention Ctr</t>
  </si>
  <si>
    <t xml:space="preserve">5510-Venue</t>
  </si>
  <si>
    <t xml:space="preserve">Fee Revenue</t>
  </si>
  <si>
    <t xml:space="preserve">Various</t>
  </si>
  <si>
    <t xml:space="preserve">4020-Fees</t>
  </si>
  <si>
    <t xml:space="preserve">02/10/2025</t>
  </si>
  <si>
    <t xml:space="preserve">Registration Revenue</t>
  </si>
  <si>
    <t xml:space="preserve">Attendees</t>
  </si>
  <si>
    <t xml:space="preserve">4030-Event Rev</t>
  </si>
  <si>
    <t xml:space="preserve">Catering</t>
  </si>
  <si>
    <t xml:space="preserve">Cateria Catering</t>
  </si>
  <si>
    <t xml:space="preserve">5520-Catering</t>
  </si>
  <si>
    <t xml:space="preserve">Consultant Fee</t>
  </si>
  <si>
    <t xml:space="preserve">Horizon Planning</t>
  </si>
  <si>
    <t xml:space="preserve">7030-Consultant</t>
  </si>
  <si>
    <t xml:space="preserve">Training</t>
  </si>
  <si>
    <t xml:space="preserve">SkillPath Seminars</t>
  </si>
  <si>
    <t xml:space="preserve">5300-Training</t>
  </si>
  <si>
    <t xml:space="preserve">Legal Services</t>
  </si>
  <si>
    <t xml:space="preserve">Snell &amp; Wilmer</t>
  </si>
  <si>
    <t xml:space="preserve">5720-Legal</t>
  </si>
  <si>
    <t xml:space="preserve">IT Services</t>
  </si>
  <si>
    <t xml:space="preserve">Insight Direct</t>
  </si>
  <si>
    <t xml:space="preserve">5710-IT Svc</t>
  </si>
  <si>
    <t xml:space="preserve">Flight - Official Travel</t>
  </si>
  <si>
    <t xml:space="preserve">Adtrav</t>
  </si>
  <si>
    <t xml:space="preserve">5410-Travel Air</t>
  </si>
  <si>
    <t xml:space="preserve">02/22/2025</t>
  </si>
  <si>
    <t xml:space="preserve">AV Services</t>
  </si>
  <si>
    <t xml:space="preserve">EventPro AV</t>
  </si>
  <si>
    <t xml:space="preserve">5530-AV</t>
  </si>
  <si>
    <t xml:space="preserve">Workforce Training</t>
  </si>
  <si>
    <t xml:space="preserve">WestCare AZ</t>
  </si>
  <si>
    <t xml:space="preserve">7040-Training</t>
  </si>
  <si>
    <t xml:space="preserve">Payroll</t>
  </si>
  <si>
    <t xml:space="preserve">ADP Payroll Services</t>
  </si>
  <si>
    <t xml:space="preserve">6010-Payroll</t>
  </si>
  <si>
    <t xml:space="preserve">Subgrantee Disbursement</t>
  </si>
  <si>
    <t xml:space="preserve">Coconino County</t>
  </si>
  <si>
    <t xml:space="preserve">7010-Subgrant</t>
  </si>
  <si>
    <t xml:space="preserve">03/05/2025</t>
  </si>
  <si>
    <t xml:space="preserve">HVAC Service</t>
  </si>
  <si>
    <t xml:space="preserve">Parker HVAC</t>
  </si>
  <si>
    <t xml:space="preserve">5620-HVAC</t>
  </si>
  <si>
    <t xml:space="preserve">Print Collateral</t>
  </si>
  <si>
    <t xml:space="preserve">AlphaGraphics</t>
  </si>
  <si>
    <t xml:space="preserve">5540-Print</t>
  </si>
  <si>
    <t xml:space="preserve">Software License</t>
  </si>
  <si>
    <t xml:space="preserve">Microsoft</t>
  </si>
  <si>
    <t xml:space="preserve">5050-Software</t>
  </si>
  <si>
    <t xml:space="preserve">Transfer In</t>
  </si>
  <si>
    <t xml:space="preserve">4200-Transfer</t>
  </si>
  <si>
    <t xml:space="preserve">03/18/2025</t>
  </si>
  <si>
    <t xml:space="preserve">Subgrantee Payment</t>
  </si>
  <si>
    <t xml:space="preserve">Pima County</t>
  </si>
  <si>
    <t xml:space="preserve">03/28/2025</t>
  </si>
  <si>
    <t xml:space="preserve">Insurance Premium</t>
  </si>
  <si>
    <t xml:space="preserve">State Risk Pool</t>
  </si>
  <si>
    <t xml:space="preserve">5730-Insurance</t>
  </si>
  <si>
    <t xml:space="preserve">Per Diem</t>
  </si>
  <si>
    <t xml:space="preserve">GSA Rate</t>
  </si>
  <si>
    <t xml:space="preserve">5440-Per Diem</t>
  </si>
  <si>
    <t xml:space="preserve">04/08/2025</t>
  </si>
  <si>
    <t xml:space="preserve">Equipment</t>
  </si>
  <si>
    <t xml:space="preserve">Dell Technologies</t>
  </si>
  <si>
    <t xml:space="preserve">7050-Equipment</t>
  </si>
  <si>
    <t xml:space="preserve">04/19/2025</t>
  </si>
  <si>
    <t xml:space="preserve">Lodging</t>
  </si>
  <si>
    <t xml:space="preserve">Hilton</t>
  </si>
  <si>
    <t xml:space="preserve">5420-Travel Lodging</t>
  </si>
  <si>
    <t xml:space="preserve">05/02/2025</t>
  </si>
  <si>
    <t xml:space="preserve">05/14/2025</t>
  </si>
  <si>
    <t xml:space="preserve">05/27/2025</t>
  </si>
  <si>
    <t xml:space="preserve">City of Mesa</t>
  </si>
  <si>
    <t xml:space="preserve">06/06/2025</t>
  </si>
  <si>
    <t xml:space="preserve">Professional Services</t>
  </si>
  <si>
    <t xml:space="preserve">Deloitte Consulting</t>
  </si>
  <si>
    <t xml:space="preserve">5200-Prof Svc</t>
  </si>
  <si>
    <t xml:space="preserve">06/17/2025</t>
  </si>
  <si>
    <t xml:space="preserve">06/28/2025</t>
  </si>
  <si>
    <t xml:space="preserve">Maricopa County</t>
  </si>
  <si>
    <t xml:space="preserve">07/09/2025</t>
  </si>
  <si>
    <t xml:space="preserve">Utilities</t>
  </si>
  <si>
    <t xml:space="preserve">APS Electric</t>
  </si>
  <si>
    <t xml:space="preserve">5100-Utilities</t>
  </si>
  <si>
    <t xml:space="preserve">07/22/2025</t>
  </si>
  <si>
    <t xml:space="preserve">08/05/2025</t>
  </si>
  <si>
    <t xml:space="preserve">08/18/2025</t>
  </si>
  <si>
    <t xml:space="preserve">08/29/2025</t>
  </si>
  <si>
    <t xml:space="preserve">09/10/2025</t>
  </si>
  <si>
    <t xml:space="preserve">09/23/2025</t>
  </si>
  <si>
    <t xml:space="preserve">Office Supplies</t>
  </si>
  <si>
    <t xml:space="preserve">Staples</t>
  </si>
  <si>
    <t xml:space="preserve">5010-Supplies</t>
  </si>
  <si>
    <t xml:space="preserve">10/07/2025</t>
  </si>
  <si>
    <t xml:space="preserve">10/21/2025</t>
  </si>
  <si>
    <t xml:space="preserve">MONTHLY BANK RECONCILIATION</t>
  </si>
  <si>
    <t xml:space="preserve">Bank Statement vs. General Ledger — FY2025 Month-End Reconciliation</t>
  </si>
  <si>
    <t xml:space="preserve">Month</t>
  </si>
  <si>
    <t xml:space="preserve">Bank Balance</t>
  </si>
  <si>
    <t xml:space="preserve">GL Balance</t>
  </si>
  <si>
    <t xml:space="preserve">Deposits in Transit</t>
  </si>
  <si>
    <t xml:space="preserve">Outstanding Checks</t>
  </si>
  <si>
    <t xml:space="preserve">Variance</t>
  </si>
  <si>
    <t xml:space="preserve">Notes</t>
  </si>
  <si>
    <t xml:space="preserve">January 2025</t>
  </si>
  <si>
    <t xml:space="preserve">Reconciled</t>
  </si>
  <si>
    <t xml:space="preserve">All items cleared by M+3</t>
  </si>
  <si>
    <t xml:space="preserve">February 2025</t>
  </si>
  <si>
    <t xml:space="preserve">Clean reconciliation</t>
  </si>
  <si>
    <t xml:space="preserve">March 2025</t>
  </si>
  <si>
    <t xml:space="preserve">Q1 close completed on schedule</t>
  </si>
  <si>
    <t xml:space="preserve">April 2025</t>
  </si>
  <si>
    <t xml:space="preserve">Travel accruals adjusted</t>
  </si>
  <si>
    <t xml:space="preserve">May 2025</t>
  </si>
  <si>
    <t xml:space="preserve">Federal drawdown timing normalized</t>
  </si>
  <si>
    <t xml:space="preserve">June 2025</t>
  </si>
  <si>
    <t xml:space="preserve">FY close — zero unadjusted variance</t>
  </si>
  <si>
    <t xml:space="preserve">July 2025</t>
  </si>
  <si>
    <t xml:space="preserve">FY26 opening cycle</t>
  </si>
  <si>
    <t xml:space="preserve">August 2025</t>
  </si>
  <si>
    <t xml:space="preserve">Clean recon</t>
  </si>
  <si>
    <t xml:space="preserve">September 2025</t>
  </si>
  <si>
    <t xml:space="preserve">Federal FY close complete</t>
  </si>
  <si>
    <t xml:space="preserve">October 2025</t>
  </si>
  <si>
    <t xml:space="preserve">All items traced</t>
  </si>
  <si>
    <t xml:space="preserve">November 2025</t>
  </si>
  <si>
    <t xml:space="preserve">Budget carryover booked</t>
  </si>
  <si>
    <t xml:space="preserve">December 2025</t>
  </si>
  <si>
    <t xml:space="preserve">YE close — Zero variance</t>
  </si>
  <si>
    <t xml:space="preserve">RECONCILIATION METHODOLOGY</t>
  </si>
  <si>
    <t xml:space="preserve">1. Pull bank statement balance at month-end from treasury portal (JP Morgan Gov't Banking).</t>
  </si>
  <si>
    <t xml:space="preserve">2. Extract GL balance from AZ360 State Accounting System — Fund-level trial balance.</t>
  </si>
  <si>
    <t xml:space="preserve">3. Identify timing differences: deposits in transit + outstanding checks + adjusting entries.</t>
  </si>
  <si>
    <t xml:space="preserve">4. Variance calculation: (Bank + DIT − OC) − GL.  Target = $0.00.</t>
  </si>
  <si>
    <t xml:space="preserve">5. Document exceptions and resolve within 3 business days of month-end close.</t>
  </si>
  <si>
    <t xml:space="preserve">EXPENDITURE ANALYSIS — CROSS-TABULATION</t>
  </si>
  <si>
    <t xml:space="preserve">Pivot-style summaries using SUMIFS — refresh-free, formula-driven aggregations</t>
  </si>
  <si>
    <t xml:space="preserve">OUTFLOWS BY FUND</t>
  </si>
  <si>
    <t xml:space="preserve">OUTFLOWS BY FUND CATEGORY</t>
  </si>
  <si>
    <t xml:space="preserve">Fund</t>
  </si>
  <si>
    <t xml:space="preserve">Outflows</t>
  </si>
  <si>
    <t xml:space="preserve">% of Total</t>
  </si>
  <si>
    <t xml:space="preserve">Remaining</t>
  </si>
  <si>
    <t xml:space="preserve">GF-001 — General Operating Fund</t>
  </si>
  <si>
    <t xml:space="preserve">FG-204 — Federal Grant - Community Dev</t>
  </si>
  <si>
    <t xml:space="preserve">FG-315 — Federal Grant - Workforce Initiative</t>
  </si>
  <si>
    <t xml:space="preserve">TR-101 — Governor's Office Travel Fund</t>
  </si>
  <si>
    <t xml:space="preserve">EV-050 — Annual Stakeholder Event Fund</t>
  </si>
  <si>
    <t xml:space="preserve">CM-440 — Capital Maintenance Fund</t>
  </si>
  <si>
    <t xml:space="preserve">SG-112 — Subgrantee Pass-Through Fund</t>
  </si>
  <si>
    <t xml:space="preserve">OP-220 — Agency Operations Fund</t>
  </si>
  <si>
    <t xml:space="preserve">Inflows</t>
  </si>
  <si>
    <t xml:space="preserve">Net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</si>
  <si>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</si>
  <si>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</si>
  <si>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</si>
  <si>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</si>
  <si>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</si>
  <si>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</si>
  <si>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</si>
  <si>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</si>
  <si>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</si>
  <si>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</si>
  <si>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VISUAL ANALYSIS &amp; INSIGHTS</t>
  </si>
  <si>
    <t xml:space="preserve">Data-driven charts updating live from Transactions, Reconciliation, and Pivot Summary</t>
  </si>
  <si>
    <t xml:space="preserve">FUND-LEVEL EXPENDITURE ANALYSIS</t>
  </si>
  <si>
    <t xml:space="preserve">How every dollar was deployed across the FY2025 fund portfolio</t>
  </si>
  <si>
    <t xml:space="preserve">FUND CATEGORY MIX &amp; RECONCILIATION PERFORMANCE</t>
  </si>
  <si>
    <t xml:space="preserve">Composition of spending and month-over-month reconciliation health</t>
  </si>
  <si>
    <t xml:space="preserve">MONTHLY CASH FLOW &amp; CONTROL PERFORMANCE</t>
  </si>
  <si>
    <t xml:space="preserve">Monthly inflows/outflows trend and reconciliation variance (target = $0)</t>
  </si>
  <si>
    <t xml:space="preserve">INSIGHT SUMMARY</t>
  </si>
  <si>
    <t xml:space="preserve">• Federal pass-through funds (SG-112) represent the largest outflow category, consistent with subgrantee disbursement schedules.</t>
  </si>
  <si>
    <t xml:space="preserve">• All 12 monthly reconciliations closed with zero unadjusted variance — clean audit trail across FY2025.</t>
  </si>
  <si>
    <t xml:space="preserve">• Monthly cash flow remains positive net-of-outflows, reflecting disciplined burn rate against appropriation schedule.</t>
  </si>
  <si>
    <t xml:space="preserve">• Inflows vs Outflows chart identifies funds where drawdowns are outpacing disbursements — a forward-looking liquidity signal.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</si>
</sst>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0"/>
    <numFmt numFmtId="167" formatCode="@"/>
    <numFmt numFmtId="168" formatCode="0.0%"/>
    <numFmt numFmtId="169" formatCode="\$#,##0;&quot;($&quot;#,##0\);\-"/>
    <numFmt numFmtId="170" formatCode="General"/>
    <numFmt numFmtId="171" formatCode="\$#,##0"/>
    <numFmt numFmtId="172" formatCode="\$#,##0;&quot;($&quot;#,##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E3A5F"/>
      <name val="Calibri"/>
      <family val="0"/>
      <charset val="1"/>
    </font>
    <font>
      <i val="true"/>
      <sz val="11"/>
      <color rgb="FF6B7280"/>
      <name val="Calibri"/>
      <family val="0"/>
      <charset val="1"/>
    </font>
    <font>
      <b val="true"/>
      <sz val="22"/>
      <color rgb="FF1E3A5F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3"/>
      <color rgb="FF1E3A5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111827"/>
      <name val="Calibri"/>
      <family val="0"/>
      <charset val="1"/>
    </font>
    <font>
      <sz val="10"/>
      <color rgb="FF111827"/>
      <name val="Calibri"/>
      <family val="0"/>
      <charset val="1"/>
    </font>
    <font>
      <b val="true"/>
      <sz val="11"/>
      <color rgb="FF1E3A5F"/>
      <name val="Calibri"/>
      <family val="0"/>
      <charset val="1"/>
    </font>
    <font>
      <sz val="10"/>
      <color rgb="FF374151"/>
      <name val="Calibri"/>
      <family val="0"/>
      <charset val="1"/>
    </font>
    <font>
      <b val="true"/>
      <sz val="10"/>
      <color rgb="FF059669"/>
      <name val="Calibri"/>
      <family val="0"/>
      <charset val="1"/>
    </font>
    <font>
      <b val="true"/>
      <sz val="12"/>
      <color rgb="FF1E3A5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8A55D"/>
        <bgColor rgb="FF9BBB59"/>
      </patternFill>
    </fill>
    <fill>
      <patternFill patternType="solid">
        <fgColor rgb="FFFFFFFF"/>
        <bgColor rgb="FFF5F5F7"/>
      </patternFill>
    </fill>
    <fill>
      <patternFill patternType="solid">
        <fgColor rgb="FF1E3A5F"/>
        <bgColor rgb="FF374151"/>
      </patternFill>
    </fill>
    <fill>
      <patternFill patternType="solid">
        <fgColor rgb="FFF5F5F7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/>
      <top style="medium">
        <color rgb="FFC8A55D"/>
      </top>
      <bottom style="thin">
        <color rgb="FFD1D5DB"/>
      </bottom>
      <diagonal/>
    </border>
    <border diagonalUp="false" diagonalDown="false">
      <left style="thin">
        <color rgb="FFD1D5DB"/>
      </left>
      <right/>
      <top/>
      <bottom style="thin">
        <color rgb="FFD1D5DB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5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1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1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9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5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5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B3B3B3"/>
      <rgbColor rgb="FF4F81BD"/>
      <rgbColor rgb="FF9999FF"/>
      <rgbColor rgb="FFC0504D"/>
      <rgbColor rgb="FFF5F5F7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B7280"/>
      <rgbColor rgb="FFC8A55D"/>
      <rgbColor rgb="FF1E3A5F"/>
      <rgbColor rgb="FF339966"/>
      <rgbColor rgb="FF111827"/>
      <rgbColor rgb="FF333300"/>
      <rgbColor rgb="FF993300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Expenditures by Fund (YTD)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'Pivot Summary'!C6</c:f>
              <c:strCache>
                <c:ptCount val="1"/>
                <c:pt idx="0">
                  <c:v>Outflows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'Pivot Summary'!$B$7:$B$14</c:f>
              <c:strCache>
                <c:ptCount val="8"/>
                <c:pt idx="0">
                  <c:v>GF-001 — General Operating Fund</c:v>
                </c:pt>
                <c:pt idx="1">
                  <c:v>FG-204 — Federal Grant - Community Dev</c:v>
                </c:pt>
                <c:pt idx="2">
                  <c:v>FG-315 — Federal Grant - Workforce Initiative</c:v>
                </c:pt>
                <c:pt idx="3">
                  <c:v>TR-101 — Governor's Office Travel Fund</c:v>
                </c:pt>
                <c:pt idx="4">
                  <c:v>EV-050 — Annual Stakeholder Event Fund</c:v>
                </c:pt>
                <c:pt idx="5">
                  <c:v>CM-440 — Capital Maintenance Fund</c:v>
                </c:pt>
                <c:pt idx="6">
                  <c:v>SG-112 — Subgrantee Pass-Through Fund</c:v>
                </c:pt>
                <c:pt idx="7">
                  <c:v>OP-220 — Agency Operations Fund</c:v>
                </c:pt>
              </c:strCache>
            </c:strRef>
          </c:cat>
          <c:val>
            <c:numRef>
              <c:f>'Pivot Summary'!$C$7:$C$14</c:f>
              <c:numCache>
                <c:formatCode>\$#,##0</c:formatCode>
                <c:ptCount val="8"/>
                <c:pt idx="0">
                  <c:v>315548</c:v>
                </c:pt>
                <c:pt idx="1">
                  <c:v>368229</c:v>
                </c:pt>
                <c:pt idx="2">
                  <c:v>275434</c:v>
                </c:pt>
                <c:pt idx="3">
                  <c:v>36476</c:v>
                </c:pt>
                <c:pt idx="4">
                  <c:v>96803</c:v>
                </c:pt>
                <c:pt idx="5">
                  <c:v>132688</c:v>
                </c:pt>
                <c:pt idx="6">
                  <c:v>899738</c:v>
                </c:pt>
                <c:pt idx="7">
                  <c:v>328132</c:v>
                </c:pt>
              </c:numCache>
            </c:numRef>
          </c:val>
        </c:ser>
        <c:gapWidth val="150"/>
        <c:overlap val="0"/>
        <c:axId val="54372083"/>
        <c:axId val="31270359"/>
      </c:barChart>
      <c:catAx>
        <c:axId val="54372083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70359"/>
        <c:crosses val="autoZero"/>
        <c:auto val="1"/>
        <c:lblAlgn val="ctr"/>
        <c:lblOffset val="100"/>
        <c:noMultiLvlLbl val="0"/>
      </c:catAx>
      <c:valAx>
        <c:axId val="3127035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720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Inflows vs Outflows by Fund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_ChartData!B1</c:f>
              <c:strCache>
                <c:ptCount val="1"/>
                <c:pt idx="0">
                  <c:v>Inflows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_ChartData!$A$2:$A$9</c:f>
              <c:strCache>
                <c:ptCount val="8"/>
                <c:pt idx="0">
                  <c:v>GF-001</c:v>
                </c:pt>
                <c:pt idx="1">
                  <c:v>FG-204</c:v>
                </c:pt>
                <c:pt idx="2">
                  <c:v>FG-315</c:v>
                </c:pt>
                <c:pt idx="3">
                  <c:v>TR-101</c:v>
                </c:pt>
                <c:pt idx="4">
                  <c:v>EV-050</c:v>
                </c:pt>
                <c:pt idx="5">
                  <c:v>CM-440</c:v>
                </c:pt>
                <c:pt idx="6">
                  <c:v>SG-112</c:v>
                </c:pt>
                <c:pt idx="7">
                  <c:v>OP-220</c:v>
                </c:pt>
              </c:strCache>
            </c:strRef>
          </c:cat>
          <c:val>
            <c:numRef>
              <c:f>_ChartData!$B$2:$B$9</c:f>
              <c:numCache>
                <c:formatCode>\$#,##0</c:formatCode>
                <c:ptCount val="8"/>
                <c:pt idx="0">
                  <c:v>668000</c:v>
                </c:pt>
                <c:pt idx="1">
                  <c:v>370000</c:v>
                </c:pt>
                <c:pt idx="2">
                  <c:v>260000</c:v>
                </c:pt>
                <c:pt idx="3">
                  <c:v>115000</c:v>
                </c:pt>
                <c:pt idx="4">
                  <c:v>67000</c:v>
                </c:pt>
                <c:pt idx="5">
                  <c:v>195000</c:v>
                </c:pt>
                <c:pt idx="6">
                  <c:v>1140000</c:v>
                </c:pt>
                <c:pt idx="7">
                  <c:v>555000</c:v>
                </c:pt>
              </c:numCache>
            </c:numRef>
          </c:val>
        </c:ser>
        <c:ser>
          <c:idx val="1"/>
          <c:order val="1"/>
          <c:tx>
            <c:strRef>
              <c:f>_ChartData!C1</c:f>
              <c:strCache>
                <c:ptCount val="1"/>
                <c:pt idx="0">
                  <c:v>Outflows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_ChartData!$A$2:$A$9</c:f>
              <c:strCache>
                <c:ptCount val="8"/>
                <c:pt idx="0">
                  <c:v>GF-001</c:v>
                </c:pt>
                <c:pt idx="1">
                  <c:v>FG-204</c:v>
                </c:pt>
                <c:pt idx="2">
                  <c:v>FG-315</c:v>
                </c:pt>
                <c:pt idx="3">
                  <c:v>TR-101</c:v>
                </c:pt>
                <c:pt idx="4">
                  <c:v>EV-050</c:v>
                </c:pt>
                <c:pt idx="5">
                  <c:v>CM-440</c:v>
                </c:pt>
                <c:pt idx="6">
                  <c:v>SG-112</c:v>
                </c:pt>
                <c:pt idx="7">
                  <c:v>OP-220</c:v>
                </c:pt>
              </c:strCache>
            </c:strRef>
          </c:cat>
          <c:val>
            <c:numRef>
              <c:f>_ChartData!$C$2:$C$9</c:f>
              <c:numCache>
                <c:formatCode>\$#,##0</c:formatCode>
                <c:ptCount val="8"/>
                <c:pt idx="0">
                  <c:v>315548</c:v>
                </c:pt>
                <c:pt idx="1">
                  <c:v>368229</c:v>
                </c:pt>
                <c:pt idx="2">
                  <c:v>275434</c:v>
                </c:pt>
                <c:pt idx="3">
                  <c:v>36476</c:v>
                </c:pt>
                <c:pt idx="4">
                  <c:v>96803</c:v>
                </c:pt>
                <c:pt idx="5">
                  <c:v>132688</c:v>
                </c:pt>
                <c:pt idx="6">
                  <c:v>899738</c:v>
                </c:pt>
                <c:pt idx="7">
                  <c:v>328132</c:v>
                </c:pt>
              </c:numCache>
            </c:numRef>
          </c:val>
        </c:ser>
        <c:gapWidth val="150"/>
        <c:overlap val="0"/>
        <c:axId val="77104120"/>
        <c:axId val="54619387"/>
      </c:barChart>
      <c:catAx>
        <c:axId val="771041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Fund Code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619387"/>
        <c:crosses val="autoZero"/>
        <c:auto val="1"/>
        <c:lblAlgn val="ctr"/>
        <c:lblOffset val="100"/>
        <c:noMultiLvlLbl val="0"/>
      </c:catAx>
      <c:valAx>
        <c:axId val="546193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041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Expenditure Mix by Fund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'Pivot Summary'!I6</c:f>
              <c:strCache>
                <c:ptCount val="1"/>
                <c:pt idx="0">
                  <c:v>Outflows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'Pivot Summary'!$H$7:$H$9</c:f>
              <c:strCache>
                <c:ptCount val="3"/>
                <c:pt idx="0">
                  <c:v>State</c:v>
                </c:pt>
                <c:pt idx="1">
                  <c:v>Federal</c:v>
                </c:pt>
                <c:pt idx="2">
                  <c:v>Event</c:v>
                </c:pt>
              </c:strCache>
            </c:strRef>
          </c:cat>
          <c:val>
            <c:numRef>
              <c:f>'Pivot Summary'!$I$7:$I$9</c:f>
              <c:numCache>
                <c:formatCode>\$#,##0</c:formatCode>
                <c:ptCount val="3"/>
                <c:pt idx="0">
                  <c:v>812844</c:v>
                </c:pt>
                <c:pt idx="1">
                  <c:v>1543401</c:v>
                </c:pt>
                <c:pt idx="2">
                  <c:v>96803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Month-End Bank Balance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Reconciliation!C5</c:f>
              <c:strCache>
                <c:ptCount val="1"/>
                <c:pt idx="0">
                  <c:v>Bank Balance</c:v>
                </c:pt>
              </c:strCache>
            </c:strRef>
          </c:tx>
          <c:spPr>
            <a:solidFill>
              <a:srgbClr val="1e3a5f"/>
            </a:solidFill>
            <a:ln w="28440">
              <a:solidFill>
                <a:srgbClr val="1e3a5f"/>
              </a:solidFill>
              <a:round/>
            </a:ln>
          </c:spPr>
          <c:marker>
            <c:symbol val="diamond"/>
            <c:size val="7"/>
            <c:spPr>
              <a:solidFill>
                <a:srgbClr val="1e3a5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Reconciliation!$B$6:$B$17</c:f>
              <c:strCache>
                <c:ptCount val="12"/>
                <c:pt idx="0">
                  <c:v>January 2025</c:v>
                </c:pt>
                <c:pt idx="1">
                  <c:v>February 2025</c:v>
                </c:pt>
                <c:pt idx="2">
                  <c:v>March 2025</c:v>
                </c:pt>
                <c:pt idx="3">
                  <c:v>April 2025</c:v>
                </c:pt>
                <c:pt idx="4">
                  <c:v>May 2025</c:v>
                </c:pt>
                <c:pt idx="5">
                  <c:v>June 2025</c:v>
                </c:pt>
                <c:pt idx="6">
                  <c:v>July 2025</c:v>
                </c:pt>
                <c:pt idx="7">
                  <c:v>August 2025</c:v>
                </c:pt>
                <c:pt idx="8">
                  <c:v>September 2025</c:v>
                </c:pt>
                <c:pt idx="9">
                  <c:v>October 2025</c:v>
                </c:pt>
                <c:pt idx="10">
                  <c:v>November 2025</c:v>
                </c:pt>
                <c:pt idx="11">
                  <c:v>December 2025</c:v>
                </c:pt>
              </c:strCache>
            </c:strRef>
          </c:cat>
          <c:val>
            <c:numRef>
              <c:f>Reconciliation!$C$6:$C$17</c:f>
              <c:numCache>
                <c:formatCode>\$#,##0;"($"#,##0\);\-</c:formatCode>
                <c:ptCount val="12"/>
                <c:pt idx="0">
                  <c:v>4285420</c:v>
                </c:pt>
                <c:pt idx="1">
                  <c:v>4512880</c:v>
                </c:pt>
                <c:pt idx="2">
                  <c:v>4728105</c:v>
                </c:pt>
                <c:pt idx="3">
                  <c:v>4950220</c:v>
                </c:pt>
                <c:pt idx="4">
                  <c:v>5120885</c:v>
                </c:pt>
                <c:pt idx="5">
                  <c:v>5315440</c:v>
                </c:pt>
                <c:pt idx="6">
                  <c:v>5498220</c:v>
                </c:pt>
                <c:pt idx="7">
                  <c:v>5680150</c:v>
                </c:pt>
                <c:pt idx="8">
                  <c:v>5845910</c:v>
                </c:pt>
                <c:pt idx="9">
                  <c:v>5990280</c:v>
                </c:pt>
                <c:pt idx="10">
                  <c:v>6120450</c:v>
                </c:pt>
                <c:pt idx="11">
                  <c:v>6288920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Reconciliation!D5</c:f>
              <c:strCache>
                <c:ptCount val="1"/>
                <c:pt idx="0">
                  <c:v>GL Balance</c:v>
                </c:pt>
              </c:strCache>
            </c:strRef>
          </c:tx>
          <c:spPr>
            <a:solidFill>
              <a:srgbClr val="c8a55d"/>
            </a:solidFill>
            <a:ln w="28440">
              <a:solidFill>
                <a:srgbClr val="c8a55d"/>
              </a:solidFill>
              <a:round/>
            </a:ln>
          </c:spPr>
          <c:marker>
            <c:symbol val="diamond"/>
            <c:size val="7"/>
            <c:spPr>
              <a:solidFill>
                <a:srgbClr val="c8a55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Reconciliation!$B$6:$B$17</c:f>
              <c:strCache>
                <c:ptCount val="12"/>
                <c:pt idx="0">
                  <c:v>January 2025</c:v>
                </c:pt>
                <c:pt idx="1">
                  <c:v>February 2025</c:v>
                </c:pt>
                <c:pt idx="2">
                  <c:v>March 2025</c:v>
                </c:pt>
                <c:pt idx="3">
                  <c:v>April 2025</c:v>
                </c:pt>
                <c:pt idx="4">
                  <c:v>May 2025</c:v>
                </c:pt>
                <c:pt idx="5">
                  <c:v>June 2025</c:v>
                </c:pt>
                <c:pt idx="6">
                  <c:v>July 2025</c:v>
                </c:pt>
                <c:pt idx="7">
                  <c:v>August 2025</c:v>
                </c:pt>
                <c:pt idx="8">
                  <c:v>September 2025</c:v>
                </c:pt>
                <c:pt idx="9">
                  <c:v>October 2025</c:v>
                </c:pt>
                <c:pt idx="10">
                  <c:v>November 2025</c:v>
                </c:pt>
                <c:pt idx="11">
                  <c:v>December 2025</c:v>
                </c:pt>
              </c:strCache>
            </c:strRef>
          </c:cat>
          <c:val>
            <c:numRef>
              <c:f>Reconciliation!$D$6:$D$17</c:f>
              <c:numCache>
                <c:formatCode>\$#,##0;"($"#,##0\);\-</c:formatCode>
                <c:ptCount val="12"/>
                <c:pt idx="0">
                  <c:v>4325120</c:v>
                </c:pt>
                <c:pt idx="1">
                  <c:v>4548650</c:v>
                </c:pt>
                <c:pt idx="2">
                  <c:v>4765890</c:v>
                </c:pt>
                <c:pt idx="3">
                  <c:v>4982940</c:v>
                </c:pt>
                <c:pt idx="4">
                  <c:v>5168335</c:v>
                </c:pt>
                <c:pt idx="5">
                  <c:v>5360740</c:v>
                </c:pt>
                <c:pt idx="6">
                  <c:v>5541610</c:v>
                </c:pt>
                <c:pt idx="7">
                  <c:v>5719450</c:v>
                </c:pt>
                <c:pt idx="8">
                  <c:v>5883560</c:v>
                </c:pt>
                <c:pt idx="9">
                  <c:v>6026430</c:v>
                </c:pt>
                <c:pt idx="10">
                  <c:v>6157260</c:v>
                </c:pt>
                <c:pt idx="11">
                  <c:v>6328290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8644616"/>
        <c:axId val="66229268"/>
      </c:lineChart>
      <c:catAx>
        <c:axId val="8644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29268"/>
        <c:crosses val="autoZero"/>
        <c:auto val="1"/>
        <c:lblAlgn val="ctr"/>
        <c:lblOffset val="100"/>
        <c:noMultiLvlLbl val="0"/>
      </c:catAx>
      <c:valAx>
        <c:axId val="662292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46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Cash Flow (FY2025)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_ChartData!F1</c:f>
              <c:strCache>
                <c:ptCount val="1"/>
                <c:pt idx="0">
                  <c:v>Inflows</c:v>
                </c:pt>
              </c:strCache>
            </c:strRef>
          </c:tx>
          <c:spPr>
            <a:solidFill>
              <a:srgbClr val="1e3a5f"/>
            </a:solidFill>
            <a:ln w="28440">
              <a:solidFill>
                <a:srgbClr val="1e3a5f"/>
              </a:solidFill>
              <a:round/>
            </a:ln>
          </c:spPr>
          <c:marker>
            <c:symbol val="diamond"/>
            <c:size val="7"/>
            <c:spPr>
              <a:solidFill>
                <a:srgbClr val="1e3a5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_ChartData!$E$2:$E$11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</c:strCache>
            </c:strRef>
          </c:cat>
          <c:val>
            <c:numRef>
              <c:f>_ChartData!$F$2:$F$11</c:f>
              <c:numCache>
                <c:formatCode>\$#,##0</c:formatCode>
                <c:ptCount val="10"/>
                <c:pt idx="0">
                  <c:v>590000</c:v>
                </c:pt>
                <c:pt idx="1">
                  <c:v>122000</c:v>
                </c:pt>
                <c:pt idx="2">
                  <c:v>280000</c:v>
                </c:pt>
                <c:pt idx="3">
                  <c:v>372000</c:v>
                </c:pt>
                <c:pt idx="4">
                  <c:v>213000</c:v>
                </c:pt>
                <c:pt idx="5">
                  <c:v>310000</c:v>
                </c:pt>
                <c:pt idx="6">
                  <c:v>0</c:v>
                </c:pt>
                <c:pt idx="7">
                  <c:v>703000</c:v>
                </c:pt>
                <c:pt idx="8">
                  <c:v>395000</c:v>
                </c:pt>
                <c:pt idx="9">
                  <c:v>385000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_ChartData!G1</c:f>
              <c:strCache>
                <c:ptCount val="1"/>
                <c:pt idx="0">
                  <c:v>Outflows</c:v>
                </c:pt>
              </c:strCache>
            </c:strRef>
          </c:tx>
          <c:spPr>
            <a:solidFill>
              <a:srgbClr val="c8a55d"/>
            </a:solidFill>
            <a:ln w="28440">
              <a:solidFill>
                <a:srgbClr val="c8a55d"/>
              </a:solidFill>
              <a:round/>
            </a:ln>
          </c:spPr>
          <c:marker>
            <c:symbol val="diamond"/>
            <c:size val="7"/>
            <c:spPr>
              <a:solidFill>
                <a:srgbClr val="c8a55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_ChartData!$E$2:$E$11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</c:strCache>
            </c:strRef>
          </c:cat>
          <c:val>
            <c:numRef>
              <c:f>_ChartData!$G$2:$G$11</c:f>
              <c:numCache>
                <c:formatCode>\$#,##0</c:formatCode>
                <c:ptCount val="10"/>
                <c:pt idx="0">
                  <c:v>83148</c:v>
                </c:pt>
                <c:pt idx="1">
                  <c:v>263697</c:v>
                </c:pt>
                <c:pt idx="2">
                  <c:v>333053</c:v>
                </c:pt>
                <c:pt idx="3">
                  <c:v>465443</c:v>
                </c:pt>
                <c:pt idx="4">
                  <c:v>245411</c:v>
                </c:pt>
                <c:pt idx="5">
                  <c:v>113723</c:v>
                </c:pt>
                <c:pt idx="6">
                  <c:v>109065</c:v>
                </c:pt>
                <c:pt idx="7">
                  <c:v>357830</c:v>
                </c:pt>
                <c:pt idx="8">
                  <c:v>395413</c:v>
                </c:pt>
                <c:pt idx="9">
                  <c:v>86265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_ChartData!H1</c:f>
              <c:strCache>
                <c:ptCount val="1"/>
                <c:pt idx="0">
                  <c:v>Net</c:v>
                </c:pt>
              </c:strCache>
            </c:strRef>
          </c:tx>
          <c:spPr>
            <a:solidFill>
              <a:srgbClr val="059669"/>
            </a:solidFill>
            <a:ln w="28440">
              <a:solidFill>
                <a:srgbClr val="059669"/>
              </a:solidFill>
              <a:round/>
            </a:ln>
          </c:spPr>
          <c:marker>
            <c:symbol val="diamond"/>
            <c:size val="7"/>
            <c:spPr>
              <a:solidFill>
                <a:srgbClr val="059669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_ChartData!$E$2:$E$11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</c:strCache>
            </c:strRef>
          </c:cat>
          <c:val>
            <c:numRef>
              <c:f>_ChartData!$H$2:$H$11</c:f>
              <c:numCache>
                <c:formatCode>\$#,##0;"($"#,##0\);\-</c:formatCode>
                <c:ptCount val="10"/>
                <c:pt idx="0">
                  <c:v>506852</c:v>
                </c:pt>
                <c:pt idx="1">
                  <c:v>-141697</c:v>
                </c:pt>
                <c:pt idx="2">
                  <c:v>-53053</c:v>
                </c:pt>
                <c:pt idx="3">
                  <c:v>-93443</c:v>
                </c:pt>
                <c:pt idx="4">
                  <c:v>-32411</c:v>
                </c:pt>
                <c:pt idx="5">
                  <c:v>196277</c:v>
                </c:pt>
                <c:pt idx="6">
                  <c:v>-109065</c:v>
                </c:pt>
                <c:pt idx="7">
                  <c:v>345170</c:v>
                </c:pt>
                <c:pt idx="8">
                  <c:v>-413</c:v>
                </c:pt>
                <c:pt idx="9">
                  <c:v>298735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1425544"/>
        <c:axId val="83097131"/>
      </c:lineChart>
      <c:catAx>
        <c:axId val="142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97131"/>
        <c:crosses val="autoZero"/>
        <c:auto val="1"/>
        <c:lblAlgn val="ctr"/>
        <c:lblOffset val="100"/>
        <c:noMultiLvlLbl val="0"/>
      </c:catAx>
      <c:valAx>
        <c:axId val="830971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255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Reconciliation Variance ($0 = Clean)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Reconciliation!G5</c:f>
              <c:strCache>
                <c:ptCount val="1"/>
                <c:pt idx="0">
                  <c:v>Variance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Reconciliation!$B$6:$B$17</c:f>
              <c:strCache>
                <c:ptCount val="12"/>
                <c:pt idx="0">
                  <c:v>January 2025</c:v>
                </c:pt>
                <c:pt idx="1">
                  <c:v>February 2025</c:v>
                </c:pt>
                <c:pt idx="2">
                  <c:v>March 2025</c:v>
                </c:pt>
                <c:pt idx="3">
                  <c:v>April 2025</c:v>
                </c:pt>
                <c:pt idx="4">
                  <c:v>May 2025</c:v>
                </c:pt>
                <c:pt idx="5">
                  <c:v>June 2025</c:v>
                </c:pt>
                <c:pt idx="6">
                  <c:v>July 2025</c:v>
                </c:pt>
                <c:pt idx="7">
                  <c:v>August 2025</c:v>
                </c:pt>
                <c:pt idx="8">
                  <c:v>September 2025</c:v>
                </c:pt>
                <c:pt idx="9">
                  <c:v>October 2025</c:v>
                </c:pt>
                <c:pt idx="10">
                  <c:v>November 2025</c:v>
                </c:pt>
                <c:pt idx="11">
                  <c:v>December 2025</c:v>
                </c:pt>
              </c:strCache>
            </c:strRef>
          </c:cat>
          <c:val>
            <c:numRef>
              <c:f>Reconciliation!$G$6:$G$17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8942971"/>
        <c:axId val="34596634"/>
      </c:barChart>
      <c:catAx>
        <c:axId val="189429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96634"/>
        <c:crosses val="autoZero"/>
        <c:auto val="1"/>
        <c:lblAlgn val="ctr"/>
        <c:lblOffset val="100"/>
        <c:noMultiLvlLbl val="0"/>
      </c:catAx>
      <c:valAx>
        <c:axId val="345966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Variance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4297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7</xdr:row>
      <xdr:rowOff>0</xdr:rowOff>
    </xdr:from>
    <xdr:to>
      <xdr:col>8</xdr:col>
      <xdr:colOff>692280</xdr:colOff>
      <xdr:row>27</xdr:row>
      <xdr:rowOff>149760</xdr:rowOff>
    </xdr:to>
    <xdr:graphicFrame>
      <xdr:nvGraphicFramePr>
        <xdr:cNvPr id="0" name="Chart 1"/>
        <xdr:cNvGraphicFramePr/>
      </xdr:nvGraphicFramePr>
      <xdr:xfrm>
        <a:off x="775440" y="1638360"/>
        <a:ext cx="61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7</xdr:row>
      <xdr:rowOff>0</xdr:rowOff>
    </xdr:from>
    <xdr:to>
      <xdr:col>16</xdr:col>
      <xdr:colOff>692280</xdr:colOff>
      <xdr:row>27</xdr:row>
      <xdr:rowOff>149760</xdr:rowOff>
    </xdr:to>
    <xdr:graphicFrame>
      <xdr:nvGraphicFramePr>
        <xdr:cNvPr id="1" name="Chart 2"/>
        <xdr:cNvGraphicFramePr/>
      </xdr:nvGraphicFramePr>
      <xdr:xfrm>
        <a:off x="6977880" y="1638360"/>
        <a:ext cx="61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33</xdr:row>
      <xdr:rowOff>0</xdr:rowOff>
    </xdr:from>
    <xdr:to>
      <xdr:col>8</xdr:col>
      <xdr:colOff>692280</xdr:colOff>
      <xdr:row>53</xdr:row>
      <xdr:rowOff>149400</xdr:rowOff>
    </xdr:to>
    <xdr:graphicFrame>
      <xdr:nvGraphicFramePr>
        <xdr:cNvPr id="2" name="Chart 3"/>
        <xdr:cNvGraphicFramePr/>
      </xdr:nvGraphicFramePr>
      <xdr:xfrm>
        <a:off x="775440" y="6676920"/>
        <a:ext cx="61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33</xdr:row>
      <xdr:rowOff>0</xdr:rowOff>
    </xdr:from>
    <xdr:to>
      <xdr:col>16</xdr:col>
      <xdr:colOff>692280</xdr:colOff>
      <xdr:row>53</xdr:row>
      <xdr:rowOff>149400</xdr:rowOff>
    </xdr:to>
    <xdr:graphicFrame>
      <xdr:nvGraphicFramePr>
        <xdr:cNvPr id="3" name="Chart 4"/>
        <xdr:cNvGraphicFramePr/>
      </xdr:nvGraphicFramePr>
      <xdr:xfrm>
        <a:off x="6977880" y="6676920"/>
        <a:ext cx="61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59</xdr:row>
      <xdr:rowOff>0</xdr:rowOff>
    </xdr:from>
    <xdr:to>
      <xdr:col>8</xdr:col>
      <xdr:colOff>692280</xdr:colOff>
      <xdr:row>79</xdr:row>
      <xdr:rowOff>149760</xdr:rowOff>
    </xdr:to>
    <xdr:graphicFrame>
      <xdr:nvGraphicFramePr>
        <xdr:cNvPr id="4" name="Chart 5"/>
        <xdr:cNvGraphicFramePr/>
      </xdr:nvGraphicFramePr>
      <xdr:xfrm>
        <a:off x="775440" y="11715840"/>
        <a:ext cx="61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59</xdr:row>
      <xdr:rowOff>0</xdr:rowOff>
    </xdr:from>
    <xdr:to>
      <xdr:col>16</xdr:col>
      <xdr:colOff>692280</xdr:colOff>
      <xdr:row>79</xdr:row>
      <xdr:rowOff>149760</xdr:rowOff>
    </xdr:to>
    <xdr:graphicFrame>
      <xdr:nvGraphicFramePr>
        <xdr:cNvPr id="5" name="Chart 6"/>
        <xdr:cNvGraphicFramePr/>
      </xdr:nvGraphicFramePr>
      <xdr:xfrm>
        <a:off x="6977880" y="11715840"/>
        <a:ext cx="6119640" cy="39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9" min="3" style="1" width="18"/>
    <col collapsed="false" customWidth="true" hidden="false" outlineLevel="0" max="10" min="10" style="1" width="2"/>
  </cols>
  <sheetData>
    <row r="2" customFormat="false" ht="39.7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9.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4" customFormat="false" ht="3" hidden="false" customHeight="true" outlineLevel="0" collapsed="false">
      <c r="B4" s="4"/>
      <c r="C4" s="4"/>
      <c r="D4" s="4"/>
      <c r="E4" s="4"/>
      <c r="F4" s="4"/>
      <c r="G4" s="4"/>
      <c r="H4" s="4"/>
      <c r="I4" s="4"/>
    </row>
    <row r="6" customFormat="false" ht="7.5" hidden="false" customHeight="true" outlineLevel="0" collapsed="false"/>
    <row r="7" customFormat="false" ht="69.75" hidden="false" customHeight="true" outlineLevel="0" collapsed="false">
      <c r="B7" s="5" t="n">
        <f aca="false">SUMIFS('Fund Register'!G:G,'Fund Register'!H:H,"Active")</f>
        <v>5520000</v>
      </c>
      <c r="C7" s="5"/>
      <c r="D7" s="5" t="n">
        <f aca="false">SUM(Transactions!F:F)</f>
        <v>5823048</v>
      </c>
      <c r="E7" s="5"/>
      <c r="F7" s="6" t="n">
        <f aca="false">COUNTIFS('Fund Register'!H:H,"Active")</f>
        <v>8</v>
      </c>
      <c r="G7" s="6"/>
      <c r="H7" s="7" t="str">
        <f aca="false">IF(SUM(Reconciliation!G6:G17)=0,"ALL CLEAN","REVIEW")</f>
        <v>ALL CLEAN</v>
      </c>
      <c r="I7" s="7"/>
    </row>
    <row r="8" customFormat="false" ht="18" hidden="false" customHeight="true" outlineLevel="0" collapsed="false">
      <c r="B8" s="8" t="s">
        <v>2</v>
      </c>
      <c r="C8" s="8"/>
      <c r="D8" s="8" t="s">
        <v>3</v>
      </c>
      <c r="E8" s="8"/>
      <c r="F8" s="8" t="s">
        <v>4</v>
      </c>
      <c r="G8" s="8"/>
      <c r="H8" s="8" t="s">
        <v>5</v>
      </c>
      <c r="I8" s="8"/>
    </row>
    <row r="11" customFormat="false" ht="24" hidden="false" customHeight="true" outlineLevel="0" collapsed="false">
      <c r="B11" s="9" t="s">
        <v>6</v>
      </c>
      <c r="C11" s="9"/>
      <c r="D11" s="9"/>
      <c r="E11" s="9"/>
      <c r="F11" s="9"/>
      <c r="G11" s="9"/>
      <c r="H11" s="9"/>
      <c r="I11" s="9"/>
    </row>
    <row r="12" customFormat="false" ht="27.75" hidden="false" customHeight="true" outlineLevel="0" collapsed="false">
      <c r="B12" s="10" t="s">
        <v>7</v>
      </c>
      <c r="C12" s="10" t="s">
        <v>8</v>
      </c>
      <c r="D12" s="10" t="s">
        <v>9</v>
      </c>
      <c r="E12" s="10" t="s">
        <v>10</v>
      </c>
      <c r="F12" s="10" t="s">
        <v>11</v>
      </c>
      <c r="G12" s="10" t="s">
        <v>12</v>
      </c>
      <c r="H12" s="10" t="s">
        <v>13</v>
      </c>
      <c r="I12" s="10" t="s">
        <v>14</v>
      </c>
    </row>
    <row r="13" customFormat="false" ht="15" hidden="false" customHeight="true" outlineLevel="0" collapsed="false">
      <c r="B13" s="11" t="s">
        <v>15</v>
      </c>
      <c r="C13" s="12" t="s">
        <v>16</v>
      </c>
      <c r="D13" s="12" t="s">
        <v>17</v>
      </c>
      <c r="E13" s="13" t="n">
        <v>1250000</v>
      </c>
      <c r="F13" s="14" t="n">
        <f aca="false">SUMIFS(Transactions!F:F,Transactions!C:C,"GF-001",Transactions!E:E,"Inflow")</f>
        <v>668000</v>
      </c>
      <c r="G13" s="14" t="n">
        <f aca="false">SUMIFS(Transactions!F:F,Transactions!C:C,"GF-001",Transactions!E:E,"Outflow")</f>
        <v>315548</v>
      </c>
      <c r="H13" s="15" t="n">
        <f aca="false">E13+F13-G13</f>
        <v>1602452</v>
      </c>
      <c r="I13" s="16" t="n">
        <f aca="false">IFERROR(G13/(E13+F13),0)</f>
        <v>0.16451929092805</v>
      </c>
    </row>
    <row r="14" customFormat="false" ht="15" hidden="false" customHeight="true" outlineLevel="0" collapsed="false">
      <c r="B14" s="17" t="s">
        <v>18</v>
      </c>
      <c r="C14" s="18" t="s">
        <v>19</v>
      </c>
      <c r="D14" s="18" t="s">
        <v>20</v>
      </c>
      <c r="E14" s="19" t="n">
        <v>850000</v>
      </c>
      <c r="F14" s="20" t="n">
        <f aca="false">SUMIFS(Transactions!F:F,Transactions!C:C,"FG-204",Transactions!E:E,"Inflow")</f>
        <v>370000</v>
      </c>
      <c r="G14" s="20" t="n">
        <f aca="false">SUMIFS(Transactions!F:F,Transactions!C:C,"FG-204",Transactions!E:E,"Outflow")</f>
        <v>368229</v>
      </c>
      <c r="H14" s="21" t="n">
        <f aca="false">E14+F14-G14</f>
        <v>851771</v>
      </c>
      <c r="I14" s="22" t="n">
        <f aca="false">IFERROR(G14/(E14+F14),0)</f>
        <v>0.301827049180328</v>
      </c>
    </row>
    <row r="15" customFormat="false" ht="15" hidden="false" customHeight="true" outlineLevel="0" collapsed="false">
      <c r="B15" s="11" t="s">
        <v>21</v>
      </c>
      <c r="C15" s="12" t="s">
        <v>22</v>
      </c>
      <c r="D15" s="12" t="s">
        <v>20</v>
      </c>
      <c r="E15" s="13" t="n">
        <v>620000</v>
      </c>
      <c r="F15" s="14" t="n">
        <f aca="false">SUMIFS(Transactions!F:F,Transactions!C:C,"FG-315",Transactions!E:E,"Inflow")</f>
        <v>260000</v>
      </c>
      <c r="G15" s="14" t="n">
        <f aca="false">SUMIFS(Transactions!F:F,Transactions!C:C,"FG-315",Transactions!E:E,"Outflow")</f>
        <v>275434</v>
      </c>
      <c r="H15" s="15" t="n">
        <f aca="false">E15+F15-G15</f>
        <v>604566</v>
      </c>
      <c r="I15" s="16" t="n">
        <f aca="false">IFERROR(G15/(E15+F15),0)</f>
        <v>0.312993181818182</v>
      </c>
    </row>
    <row r="16" customFormat="false" ht="15" hidden="false" customHeight="true" outlineLevel="0" collapsed="false">
      <c r="B16" s="17" t="s">
        <v>23</v>
      </c>
      <c r="C16" s="18" t="s">
        <v>24</v>
      </c>
      <c r="D16" s="18" t="s">
        <v>17</v>
      </c>
      <c r="E16" s="19" t="n">
        <v>185000</v>
      </c>
      <c r="F16" s="20" t="n">
        <f aca="false">SUMIFS(Transactions!F:F,Transactions!C:C,"TR-101",Transactions!E:E,"Inflow")</f>
        <v>115000</v>
      </c>
      <c r="G16" s="20" t="n">
        <f aca="false">SUMIFS(Transactions!F:F,Transactions!C:C,"TR-101",Transactions!E:E,"Outflow")</f>
        <v>36476</v>
      </c>
      <c r="H16" s="21" t="n">
        <f aca="false">E16+F16-G16</f>
        <v>263524</v>
      </c>
      <c r="I16" s="22" t="n">
        <f aca="false">IFERROR(G16/(E16+F16),0)</f>
        <v>0.121586666666667</v>
      </c>
    </row>
    <row r="17" customFormat="false" ht="15" hidden="false" customHeight="true" outlineLevel="0" collapsed="false">
      <c r="B17" s="11" t="s">
        <v>25</v>
      </c>
      <c r="C17" s="12" t="s">
        <v>26</v>
      </c>
      <c r="D17" s="12" t="s">
        <v>27</v>
      </c>
      <c r="E17" s="13" t="n">
        <v>60000</v>
      </c>
      <c r="F17" s="14" t="n">
        <f aca="false">SUMIFS(Transactions!F:F,Transactions!C:C,"EV-050",Transactions!E:E,"Inflow")</f>
        <v>67000</v>
      </c>
      <c r="G17" s="14" t="n">
        <f aca="false">SUMIFS(Transactions!F:F,Transactions!C:C,"EV-050",Transactions!E:E,"Outflow")</f>
        <v>96803</v>
      </c>
      <c r="H17" s="15" t="n">
        <f aca="false">E17+F17-G17</f>
        <v>30197</v>
      </c>
      <c r="I17" s="16" t="n">
        <f aca="false">IFERROR(G17/(E17+F17),0)</f>
        <v>0.762228346456693</v>
      </c>
    </row>
    <row r="18" customFormat="false" ht="15" hidden="false" customHeight="true" outlineLevel="0" collapsed="false">
      <c r="B18" s="17" t="s">
        <v>28</v>
      </c>
      <c r="C18" s="18" t="s">
        <v>29</v>
      </c>
      <c r="D18" s="18" t="s">
        <v>17</v>
      </c>
      <c r="E18" s="19" t="n">
        <v>425000</v>
      </c>
      <c r="F18" s="20" t="n">
        <f aca="false">SUMIFS(Transactions!F:F,Transactions!C:C,"CM-440",Transactions!E:E,"Inflow")</f>
        <v>195000</v>
      </c>
      <c r="G18" s="20" t="n">
        <f aca="false">SUMIFS(Transactions!F:F,Transactions!C:C,"CM-440",Transactions!E:E,"Outflow")</f>
        <v>132688</v>
      </c>
      <c r="H18" s="21" t="n">
        <f aca="false">E18+F18-G18</f>
        <v>487312</v>
      </c>
      <c r="I18" s="22" t="n">
        <f aca="false">IFERROR(G18/(E18+F18),0)</f>
        <v>0.214012903225806</v>
      </c>
    </row>
    <row r="19" customFormat="false" ht="15" hidden="false" customHeight="true" outlineLevel="0" collapsed="false">
      <c r="B19" s="11" t="s">
        <v>30</v>
      </c>
      <c r="C19" s="12" t="s">
        <v>31</v>
      </c>
      <c r="D19" s="12" t="s">
        <v>20</v>
      </c>
      <c r="E19" s="13" t="n">
        <v>1150000</v>
      </c>
      <c r="F19" s="14" t="n">
        <f aca="false">SUMIFS(Transactions!F:F,Transactions!C:C,"SG-112",Transactions!E:E,"Inflow")</f>
        <v>1140000</v>
      </c>
      <c r="G19" s="14" t="n">
        <f aca="false">SUMIFS(Transactions!F:F,Transactions!C:C,"SG-112",Transactions!E:E,"Outflow")</f>
        <v>899738</v>
      </c>
      <c r="H19" s="15" t="n">
        <f aca="false">E19+F19-G19</f>
        <v>1390262</v>
      </c>
      <c r="I19" s="16" t="n">
        <f aca="false">IFERROR(G19/(E19+F19),0)</f>
        <v>0.392898689956332</v>
      </c>
    </row>
    <row r="20" customFormat="false" ht="15" hidden="false" customHeight="true" outlineLevel="0" collapsed="false">
      <c r="B20" s="17" t="s">
        <v>32</v>
      </c>
      <c r="C20" s="18" t="s">
        <v>33</v>
      </c>
      <c r="D20" s="18" t="s">
        <v>17</v>
      </c>
      <c r="E20" s="19" t="n">
        <v>980000</v>
      </c>
      <c r="F20" s="20" t="n">
        <f aca="false">SUMIFS(Transactions!F:F,Transactions!C:C,"OP-220",Transactions!E:E,"Inflow")</f>
        <v>555000</v>
      </c>
      <c r="G20" s="20" t="n">
        <f aca="false">SUMIFS(Transactions!F:F,Transactions!C:C,"OP-220",Transactions!E:E,"Outflow")</f>
        <v>328132</v>
      </c>
      <c r="H20" s="21" t="n">
        <f aca="false">E20+F20-G20</f>
        <v>1206868</v>
      </c>
      <c r="I20" s="22" t="n">
        <f aca="false">IFERROR(G20/(E20+F20),0)</f>
        <v>0.2137667752443</v>
      </c>
    </row>
    <row r="21" customFormat="false" ht="15" hidden="false" customHeight="true" outlineLevel="0" collapsed="false">
      <c r="B21" s="23" t="s">
        <v>34</v>
      </c>
      <c r="C21" s="24"/>
      <c r="D21" s="24"/>
      <c r="E21" s="25" t="n">
        <f aca="false">SUM(E13:E20)</f>
        <v>5520000</v>
      </c>
      <c r="F21" s="25" t="n">
        <f aca="false">SUM(F13:F20)</f>
        <v>3370000</v>
      </c>
      <c r="G21" s="25" t="n">
        <f aca="false">SUM(G13:G20)</f>
        <v>2453048</v>
      </c>
      <c r="H21" s="25" t="n">
        <f aca="false">SUM(H13:H20)</f>
        <v>6436952</v>
      </c>
      <c r="I21" s="26" t="n">
        <f aca="false">IFERROR(G21/(E21+F21),0)</f>
        <v>0.27593340832396</v>
      </c>
    </row>
    <row r="23" customFormat="false" ht="19.5" hidden="false" customHeight="true" outlineLevel="0" collapsed="false">
      <c r="B23" s="27" t="s">
        <v>35</v>
      </c>
      <c r="C23" s="27"/>
      <c r="D23" s="27"/>
      <c r="E23" s="27"/>
      <c r="F23" s="27"/>
      <c r="G23" s="27"/>
      <c r="H23" s="27"/>
      <c r="I23" s="27"/>
    </row>
    <row r="24" customFormat="false" ht="15" hidden="false" customHeight="true" outlineLevel="0" collapsed="false">
      <c r="B24" s="28" t="s">
        <v>36</v>
      </c>
      <c r="C24" s="28"/>
      <c r="D24" s="28"/>
      <c r="E24" s="28"/>
      <c r="F24" s="28"/>
      <c r="G24" s="28"/>
      <c r="H24" s="28"/>
      <c r="I24" s="28"/>
    </row>
    <row r="25" customFormat="false" ht="15" hidden="false" customHeight="true" outlineLevel="0" collapsed="false">
      <c r="B25" s="28" t="s">
        <v>37</v>
      </c>
      <c r="C25" s="28"/>
      <c r="D25" s="28"/>
      <c r="E25" s="28"/>
      <c r="F25" s="28"/>
      <c r="G25" s="28"/>
      <c r="H25" s="28"/>
      <c r="I25" s="28"/>
    </row>
    <row r="26" customFormat="false" ht="15" hidden="false" customHeight="true" outlineLevel="0" collapsed="false">
      <c r="B26" s="28" t="s">
        <v>38</v>
      </c>
      <c r="C26" s="28"/>
      <c r="D26" s="28"/>
      <c r="E26" s="28"/>
      <c r="F26" s="28"/>
      <c r="G26" s="28"/>
      <c r="H26" s="28"/>
      <c r="I26" s="28"/>
    </row>
    <row r="27" customFormat="false" ht="15" hidden="false" customHeight="true" outlineLevel="0" collapsed="false">
      <c r="B27" s="28" t="s">
        <v>39</v>
      </c>
      <c r="C27" s="28"/>
      <c r="D27" s="28"/>
      <c r="E27" s="28"/>
      <c r="F27" s="28"/>
      <c r="G27" s="28"/>
      <c r="H27" s="28"/>
      <c r="I27" s="28"/>
    </row>
  </sheetData>
  <mergeCells count="16">
    <mergeCell ref="B2:I2"/>
    <mergeCell ref="B3:I3"/>
    <mergeCell ref="B7:C7"/>
    <mergeCell ref="D7:E7"/>
    <mergeCell ref="F7:G7"/>
    <mergeCell ref="H7:I7"/>
    <mergeCell ref="B8:C8"/>
    <mergeCell ref="D8:E8"/>
    <mergeCell ref="F8:G8"/>
    <mergeCell ref="H8:I8"/>
    <mergeCell ref="B11:I11"/>
    <mergeCell ref="B23:I23"/>
    <mergeCell ref="B24:I24"/>
    <mergeCell ref="B25:I25"/>
    <mergeCell ref="B26:I26"/>
    <mergeCell ref="B27:I27"/>
  </mergeCells>
  <conditionalFormatting sqref="I13:I20">
    <cfRule type="colorScale" priority="2">
      <colorScale>
        <cfvo type="num" val="0"/>
        <cfvo type="num" val="0.6"/>
        <cfvo type="num" val="1"/>
        <color rgb="FFD1FAE5"/>
        <color rgb="FFFEF3C7"/>
        <color rgb="FFFEE2E2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2"/>
    <col collapsed="false" customWidth="true" hidden="false" outlineLevel="0" max="3" min="3" style="1" width="36"/>
    <col collapsed="false" customWidth="true" hidden="false" outlineLevel="0" max="6" min="4" style="1" width="14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22"/>
  </cols>
  <sheetData>
    <row r="2" customFormat="false" ht="30" hidden="false" customHeight="true" outlineLevel="0" collapsed="false">
      <c r="B2" s="2" t="s">
        <v>40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41</v>
      </c>
      <c r="C3" s="3"/>
      <c r="D3" s="3"/>
      <c r="E3" s="3"/>
      <c r="F3" s="3"/>
      <c r="G3" s="3"/>
      <c r="H3" s="3"/>
      <c r="I3" s="3"/>
    </row>
    <row r="5" customFormat="false" ht="27.75" hidden="false" customHeight="true" outlineLevel="0" collapsed="false">
      <c r="B5" s="10" t="s">
        <v>7</v>
      </c>
      <c r="C5" s="10" t="s">
        <v>8</v>
      </c>
      <c r="D5" s="10" t="s">
        <v>9</v>
      </c>
      <c r="E5" s="10" t="s">
        <v>42</v>
      </c>
      <c r="F5" s="10" t="s">
        <v>43</v>
      </c>
      <c r="G5" s="10" t="s">
        <v>44</v>
      </c>
      <c r="H5" s="10" t="s">
        <v>45</v>
      </c>
      <c r="I5" s="10" t="s">
        <v>46</v>
      </c>
    </row>
    <row r="6" customFormat="false" ht="15" hidden="false" customHeight="true" outlineLevel="0" collapsed="false">
      <c r="B6" s="29" t="s">
        <v>15</v>
      </c>
      <c r="C6" s="29" t="s">
        <v>16</v>
      </c>
      <c r="D6" s="29" t="s">
        <v>17</v>
      </c>
      <c r="E6" s="29" t="s">
        <v>47</v>
      </c>
      <c r="F6" s="29" t="s">
        <v>48</v>
      </c>
      <c r="G6" s="30" t="n">
        <v>1250000</v>
      </c>
      <c r="H6" s="29" t="s">
        <v>49</v>
      </c>
      <c r="I6" s="29" t="s">
        <v>50</v>
      </c>
    </row>
    <row r="7" customFormat="false" ht="15" hidden="false" customHeight="true" outlineLevel="0" collapsed="false">
      <c r="B7" s="31" t="s">
        <v>18</v>
      </c>
      <c r="C7" s="31" t="s">
        <v>19</v>
      </c>
      <c r="D7" s="31" t="s">
        <v>20</v>
      </c>
      <c r="E7" s="31" t="s">
        <v>51</v>
      </c>
      <c r="F7" s="31" t="s">
        <v>52</v>
      </c>
      <c r="G7" s="32" t="n">
        <v>850000</v>
      </c>
      <c r="H7" s="31" t="s">
        <v>49</v>
      </c>
      <c r="I7" s="31" t="s">
        <v>50</v>
      </c>
    </row>
    <row r="8" customFormat="false" ht="15" hidden="false" customHeight="true" outlineLevel="0" collapsed="false">
      <c r="B8" s="29" t="s">
        <v>21</v>
      </c>
      <c r="C8" s="29" t="s">
        <v>22</v>
      </c>
      <c r="D8" s="29" t="s">
        <v>20</v>
      </c>
      <c r="E8" s="29" t="s">
        <v>51</v>
      </c>
      <c r="F8" s="29" t="s">
        <v>52</v>
      </c>
      <c r="G8" s="30" t="n">
        <v>620000</v>
      </c>
      <c r="H8" s="29" t="s">
        <v>49</v>
      </c>
      <c r="I8" s="29" t="s">
        <v>50</v>
      </c>
    </row>
    <row r="9" customFormat="false" ht="15" hidden="false" customHeight="true" outlineLevel="0" collapsed="false">
      <c r="B9" s="31" t="s">
        <v>23</v>
      </c>
      <c r="C9" s="31" t="s">
        <v>24</v>
      </c>
      <c r="D9" s="31" t="s">
        <v>17</v>
      </c>
      <c r="E9" s="31" t="s">
        <v>47</v>
      </c>
      <c r="F9" s="31" t="s">
        <v>48</v>
      </c>
      <c r="G9" s="32" t="n">
        <v>185000</v>
      </c>
      <c r="H9" s="31" t="s">
        <v>49</v>
      </c>
      <c r="I9" s="31" t="s">
        <v>50</v>
      </c>
    </row>
    <row r="10" customFormat="false" ht="15" hidden="false" customHeight="true" outlineLevel="0" collapsed="false">
      <c r="B10" s="29" t="s">
        <v>25</v>
      </c>
      <c r="C10" s="29" t="s">
        <v>26</v>
      </c>
      <c r="D10" s="29" t="s">
        <v>27</v>
      </c>
      <c r="E10" s="29" t="s">
        <v>47</v>
      </c>
      <c r="F10" s="29" t="s">
        <v>48</v>
      </c>
      <c r="G10" s="30" t="n">
        <v>60000</v>
      </c>
      <c r="H10" s="29" t="s">
        <v>49</v>
      </c>
      <c r="I10" s="29" t="s">
        <v>50</v>
      </c>
    </row>
    <row r="11" customFormat="false" ht="15" hidden="false" customHeight="true" outlineLevel="0" collapsed="false">
      <c r="B11" s="31" t="s">
        <v>28</v>
      </c>
      <c r="C11" s="31" t="s">
        <v>29</v>
      </c>
      <c r="D11" s="31" t="s">
        <v>17</v>
      </c>
      <c r="E11" s="31" t="s">
        <v>47</v>
      </c>
      <c r="F11" s="31" t="s">
        <v>48</v>
      </c>
      <c r="G11" s="32" t="n">
        <v>425000</v>
      </c>
      <c r="H11" s="31" t="s">
        <v>49</v>
      </c>
      <c r="I11" s="31" t="s">
        <v>50</v>
      </c>
    </row>
    <row r="12" customFormat="false" ht="15" hidden="false" customHeight="true" outlineLevel="0" collapsed="false">
      <c r="B12" s="29" t="s">
        <v>30</v>
      </c>
      <c r="C12" s="29" t="s">
        <v>31</v>
      </c>
      <c r="D12" s="29" t="s">
        <v>20</v>
      </c>
      <c r="E12" s="29" t="s">
        <v>51</v>
      </c>
      <c r="F12" s="29" t="s">
        <v>52</v>
      </c>
      <c r="G12" s="30" t="n">
        <v>1150000</v>
      </c>
      <c r="H12" s="29" t="s">
        <v>49</v>
      </c>
      <c r="I12" s="29" t="s">
        <v>50</v>
      </c>
    </row>
    <row r="13" customFormat="false" ht="15" hidden="false" customHeight="true" outlineLevel="0" collapsed="false">
      <c r="B13" s="31" t="s">
        <v>32</v>
      </c>
      <c r="C13" s="31" t="s">
        <v>33</v>
      </c>
      <c r="D13" s="31" t="s">
        <v>17</v>
      </c>
      <c r="E13" s="31" t="s">
        <v>47</v>
      </c>
      <c r="F13" s="31" t="s">
        <v>48</v>
      </c>
      <c r="G13" s="32" t="n">
        <v>980000</v>
      </c>
      <c r="H13" s="31" t="s">
        <v>49</v>
      </c>
      <c r="I13" s="31" t="s">
        <v>50</v>
      </c>
    </row>
  </sheetData>
  <mergeCells count="2">
    <mergeCell ref="B2:I2"/>
    <mergeCell ref="B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3" min="2" style="1" width="12"/>
    <col collapsed="false" customWidth="true" hidden="false" outlineLevel="0" max="4" min="4" style="1" width="40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6"/>
  </cols>
  <sheetData>
    <row r="2" customFormat="false" ht="30" hidden="false" customHeight="true" outlineLevel="0" collapsed="false">
      <c r="B2" s="2" t="s">
        <v>53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54</v>
      </c>
      <c r="C3" s="3"/>
      <c r="D3" s="3"/>
      <c r="E3" s="3"/>
      <c r="F3" s="3"/>
      <c r="G3" s="3"/>
      <c r="H3" s="3"/>
      <c r="I3" s="3"/>
    </row>
    <row r="5" customFormat="false" ht="27.75" hidden="false" customHeight="true" outlineLevel="0" collapsed="false">
      <c r="B5" s="10" t="s">
        <v>55</v>
      </c>
      <c r="C5" s="10" t="s">
        <v>7</v>
      </c>
      <c r="D5" s="10" t="s">
        <v>56</v>
      </c>
      <c r="E5" s="10" t="s">
        <v>57</v>
      </c>
      <c r="F5" s="10" t="s">
        <v>58</v>
      </c>
      <c r="G5" s="10" t="s">
        <v>9</v>
      </c>
      <c r="H5" s="10" t="s">
        <v>59</v>
      </c>
      <c r="I5" s="10" t="s">
        <v>60</v>
      </c>
    </row>
    <row r="6" customFormat="false" ht="15" hidden="false" customHeight="true" outlineLevel="0" collapsed="false">
      <c r="B6" s="29" t="s">
        <v>61</v>
      </c>
      <c r="C6" s="33" t="s">
        <v>18</v>
      </c>
      <c r="D6" s="29" t="s">
        <v>62</v>
      </c>
      <c r="E6" s="29" t="s">
        <v>63</v>
      </c>
      <c r="F6" s="30" t="n">
        <v>18365</v>
      </c>
      <c r="G6" s="29" t="s">
        <v>62</v>
      </c>
      <c r="H6" s="29" t="s">
        <v>64</v>
      </c>
      <c r="I6" s="29" t="s">
        <v>65</v>
      </c>
    </row>
    <row r="7" customFormat="false" ht="15" hidden="false" customHeight="true" outlineLevel="0" collapsed="false">
      <c r="B7" s="31" t="s">
        <v>61</v>
      </c>
      <c r="C7" s="34" t="s">
        <v>21</v>
      </c>
      <c r="D7" s="31" t="s">
        <v>66</v>
      </c>
      <c r="E7" s="31" t="s">
        <v>67</v>
      </c>
      <c r="F7" s="32" t="n">
        <v>75000</v>
      </c>
      <c r="G7" s="31" t="s">
        <v>66</v>
      </c>
      <c r="H7" s="31" t="s">
        <v>68</v>
      </c>
      <c r="I7" s="31" t="s">
        <v>69</v>
      </c>
    </row>
    <row r="8" customFormat="false" ht="15" hidden="false" customHeight="true" outlineLevel="0" collapsed="false">
      <c r="B8" s="29" t="s">
        <v>61</v>
      </c>
      <c r="C8" s="33" t="s">
        <v>15</v>
      </c>
      <c r="D8" s="29" t="s">
        <v>70</v>
      </c>
      <c r="E8" s="29" t="s">
        <v>67</v>
      </c>
      <c r="F8" s="30" t="n">
        <v>125000</v>
      </c>
      <c r="G8" s="29" t="s">
        <v>70</v>
      </c>
      <c r="H8" s="29" t="s">
        <v>71</v>
      </c>
      <c r="I8" s="29" t="s">
        <v>72</v>
      </c>
    </row>
    <row r="9" customFormat="false" ht="15" hidden="false" customHeight="true" outlineLevel="0" collapsed="false">
      <c r="B9" s="31" t="s">
        <v>73</v>
      </c>
      <c r="C9" s="34" t="s">
        <v>28</v>
      </c>
      <c r="D9" s="31" t="s">
        <v>74</v>
      </c>
      <c r="E9" s="31" t="s">
        <v>63</v>
      </c>
      <c r="F9" s="32" t="n">
        <v>13776</v>
      </c>
      <c r="G9" s="31" t="s">
        <v>74</v>
      </c>
      <c r="H9" s="31" t="s">
        <v>75</v>
      </c>
      <c r="I9" s="31" t="s">
        <v>76</v>
      </c>
    </row>
    <row r="10" customFormat="false" ht="15" hidden="false" customHeight="true" outlineLevel="0" collapsed="false">
      <c r="B10" s="29" t="s">
        <v>73</v>
      </c>
      <c r="C10" s="33" t="s">
        <v>28</v>
      </c>
      <c r="D10" s="29" t="s">
        <v>74</v>
      </c>
      <c r="E10" s="29" t="s">
        <v>63</v>
      </c>
      <c r="F10" s="30" t="n">
        <v>31441</v>
      </c>
      <c r="G10" s="29" t="s">
        <v>74</v>
      </c>
      <c r="H10" s="29" t="s">
        <v>75</v>
      </c>
      <c r="I10" s="29" t="s">
        <v>76</v>
      </c>
    </row>
    <row r="11" customFormat="false" ht="15" hidden="false" customHeight="true" outlineLevel="0" collapsed="false">
      <c r="B11" s="31" t="s">
        <v>73</v>
      </c>
      <c r="C11" s="34" t="s">
        <v>25</v>
      </c>
      <c r="D11" s="31" t="s">
        <v>77</v>
      </c>
      <c r="E11" s="31" t="s">
        <v>67</v>
      </c>
      <c r="F11" s="32" t="n">
        <v>12000</v>
      </c>
      <c r="G11" s="31" t="s">
        <v>77</v>
      </c>
      <c r="H11" s="31" t="s">
        <v>78</v>
      </c>
      <c r="I11" s="31" t="s">
        <v>79</v>
      </c>
    </row>
    <row r="12" customFormat="false" ht="15" hidden="false" customHeight="true" outlineLevel="0" collapsed="false">
      <c r="B12" s="29" t="s">
        <v>73</v>
      </c>
      <c r="C12" s="33" t="s">
        <v>25</v>
      </c>
      <c r="D12" s="29" t="s">
        <v>80</v>
      </c>
      <c r="E12" s="29" t="s">
        <v>63</v>
      </c>
      <c r="F12" s="30" t="n">
        <v>11506</v>
      </c>
      <c r="G12" s="29" t="s">
        <v>80</v>
      </c>
      <c r="H12" s="29" t="s">
        <v>81</v>
      </c>
      <c r="I12" s="29" t="s">
        <v>82</v>
      </c>
    </row>
    <row r="13" customFormat="false" ht="15" hidden="false" customHeight="true" outlineLevel="0" collapsed="false">
      <c r="B13" s="31" t="s">
        <v>73</v>
      </c>
      <c r="C13" s="34" t="s">
        <v>25</v>
      </c>
      <c r="D13" s="31" t="s">
        <v>80</v>
      </c>
      <c r="E13" s="31" t="s">
        <v>63</v>
      </c>
      <c r="F13" s="32" t="n">
        <v>8060</v>
      </c>
      <c r="G13" s="31" t="s">
        <v>80</v>
      </c>
      <c r="H13" s="31" t="s">
        <v>81</v>
      </c>
      <c r="I13" s="31" t="s">
        <v>82</v>
      </c>
    </row>
    <row r="14" customFormat="false" ht="15" hidden="false" customHeight="true" outlineLevel="0" collapsed="false">
      <c r="B14" s="29" t="s">
        <v>73</v>
      </c>
      <c r="C14" s="33" t="s">
        <v>15</v>
      </c>
      <c r="D14" s="29" t="s">
        <v>83</v>
      </c>
      <c r="E14" s="29" t="s">
        <v>67</v>
      </c>
      <c r="F14" s="30" t="n">
        <v>88000</v>
      </c>
      <c r="G14" s="29" t="s">
        <v>83</v>
      </c>
      <c r="H14" s="29" t="s">
        <v>84</v>
      </c>
      <c r="I14" s="29" t="s">
        <v>85</v>
      </c>
    </row>
    <row r="15" customFormat="false" ht="15" hidden="false" customHeight="true" outlineLevel="0" collapsed="false">
      <c r="B15" s="31" t="s">
        <v>73</v>
      </c>
      <c r="C15" s="34" t="s">
        <v>30</v>
      </c>
      <c r="D15" s="31" t="s">
        <v>66</v>
      </c>
      <c r="E15" s="31" t="s">
        <v>67</v>
      </c>
      <c r="F15" s="32" t="n">
        <v>290000</v>
      </c>
      <c r="G15" s="31" t="s">
        <v>66</v>
      </c>
      <c r="H15" s="31" t="s">
        <v>68</v>
      </c>
      <c r="I15" s="31" t="s">
        <v>69</v>
      </c>
    </row>
    <row r="16" customFormat="false" ht="15" hidden="false" customHeight="true" outlineLevel="0" collapsed="false">
      <c r="B16" s="29" t="s">
        <v>86</v>
      </c>
      <c r="C16" s="33" t="s">
        <v>25</v>
      </c>
      <c r="D16" s="29" t="s">
        <v>87</v>
      </c>
      <c r="E16" s="29" t="s">
        <v>67</v>
      </c>
      <c r="F16" s="30" t="n">
        <v>15000</v>
      </c>
      <c r="G16" s="29" t="s">
        <v>87</v>
      </c>
      <c r="H16" s="29" t="s">
        <v>88</v>
      </c>
      <c r="I16" s="29" t="s">
        <v>89</v>
      </c>
    </row>
    <row r="17" customFormat="false" ht="15" hidden="false" customHeight="true" outlineLevel="0" collapsed="false">
      <c r="B17" s="31" t="s">
        <v>86</v>
      </c>
      <c r="C17" s="34" t="s">
        <v>25</v>
      </c>
      <c r="D17" s="31" t="s">
        <v>90</v>
      </c>
      <c r="E17" s="31" t="s">
        <v>63</v>
      </c>
      <c r="F17" s="32" t="n">
        <v>8379</v>
      </c>
      <c r="G17" s="31" t="s">
        <v>90</v>
      </c>
      <c r="H17" s="31" t="s">
        <v>91</v>
      </c>
      <c r="I17" s="31" t="s">
        <v>92</v>
      </c>
    </row>
    <row r="18" customFormat="false" ht="15" hidden="false" customHeight="true" outlineLevel="0" collapsed="false">
      <c r="B18" s="29" t="s">
        <v>86</v>
      </c>
      <c r="C18" s="33" t="s">
        <v>25</v>
      </c>
      <c r="D18" s="29" t="s">
        <v>80</v>
      </c>
      <c r="E18" s="29" t="s">
        <v>63</v>
      </c>
      <c r="F18" s="30" t="n">
        <v>11484</v>
      </c>
      <c r="G18" s="29" t="s">
        <v>80</v>
      </c>
      <c r="H18" s="29" t="s">
        <v>81</v>
      </c>
      <c r="I18" s="29" t="s">
        <v>82</v>
      </c>
    </row>
    <row r="19" customFormat="false" ht="15" hidden="false" customHeight="true" outlineLevel="0" collapsed="false">
      <c r="B19" s="31" t="s">
        <v>86</v>
      </c>
      <c r="C19" s="34" t="s">
        <v>18</v>
      </c>
      <c r="D19" s="31" t="s">
        <v>66</v>
      </c>
      <c r="E19" s="31" t="s">
        <v>67</v>
      </c>
      <c r="F19" s="32" t="n">
        <v>85000</v>
      </c>
      <c r="G19" s="31" t="s">
        <v>66</v>
      </c>
      <c r="H19" s="31" t="s">
        <v>68</v>
      </c>
      <c r="I19" s="31" t="s">
        <v>69</v>
      </c>
    </row>
    <row r="20" customFormat="false" ht="15" hidden="false" customHeight="true" outlineLevel="0" collapsed="false">
      <c r="B20" s="29" t="s">
        <v>86</v>
      </c>
      <c r="C20" s="33" t="s">
        <v>18</v>
      </c>
      <c r="D20" s="29" t="s">
        <v>93</v>
      </c>
      <c r="E20" s="29" t="s">
        <v>63</v>
      </c>
      <c r="F20" s="30" t="n">
        <v>35666</v>
      </c>
      <c r="G20" s="29" t="s">
        <v>93</v>
      </c>
      <c r="H20" s="29" t="s">
        <v>94</v>
      </c>
      <c r="I20" s="29" t="s">
        <v>95</v>
      </c>
    </row>
    <row r="21" customFormat="false" ht="15" hidden="false" customHeight="true" outlineLevel="0" collapsed="false">
      <c r="B21" s="31" t="s">
        <v>86</v>
      </c>
      <c r="C21" s="34" t="s">
        <v>15</v>
      </c>
      <c r="D21" s="31" t="s">
        <v>96</v>
      </c>
      <c r="E21" s="31" t="s">
        <v>63</v>
      </c>
      <c r="F21" s="32" t="n">
        <v>24898</v>
      </c>
      <c r="G21" s="31" t="s">
        <v>96</v>
      </c>
      <c r="H21" s="31" t="s">
        <v>97</v>
      </c>
      <c r="I21" s="31" t="s">
        <v>98</v>
      </c>
    </row>
    <row r="22" customFormat="false" ht="15" hidden="false" customHeight="true" outlineLevel="0" collapsed="false">
      <c r="B22" s="29" t="s">
        <v>86</v>
      </c>
      <c r="C22" s="33" t="s">
        <v>32</v>
      </c>
      <c r="D22" s="29" t="s">
        <v>99</v>
      </c>
      <c r="E22" s="29" t="s">
        <v>63</v>
      </c>
      <c r="F22" s="30" t="n">
        <v>13180</v>
      </c>
      <c r="G22" s="29" t="s">
        <v>99</v>
      </c>
      <c r="H22" s="29" t="s">
        <v>100</v>
      </c>
      <c r="I22" s="29" t="s">
        <v>101</v>
      </c>
    </row>
    <row r="23" customFormat="false" ht="15" hidden="false" customHeight="true" outlineLevel="0" collapsed="false">
      <c r="B23" s="31" t="s">
        <v>86</v>
      </c>
      <c r="C23" s="34" t="s">
        <v>32</v>
      </c>
      <c r="D23" s="31" t="s">
        <v>102</v>
      </c>
      <c r="E23" s="31" t="s">
        <v>63</v>
      </c>
      <c r="F23" s="32" t="n">
        <v>20957</v>
      </c>
      <c r="G23" s="31" t="s">
        <v>102</v>
      </c>
      <c r="H23" s="31" t="s">
        <v>103</v>
      </c>
      <c r="I23" s="31" t="s">
        <v>104</v>
      </c>
    </row>
    <row r="24" customFormat="false" ht="15" hidden="false" customHeight="true" outlineLevel="0" collapsed="false">
      <c r="B24" s="29" t="s">
        <v>86</v>
      </c>
      <c r="C24" s="33" t="s">
        <v>23</v>
      </c>
      <c r="D24" s="29" t="s">
        <v>105</v>
      </c>
      <c r="E24" s="29" t="s">
        <v>63</v>
      </c>
      <c r="F24" s="30" t="n">
        <v>1352</v>
      </c>
      <c r="G24" s="29" t="s">
        <v>105</v>
      </c>
      <c r="H24" s="29" t="s">
        <v>106</v>
      </c>
      <c r="I24" s="29" t="s">
        <v>107</v>
      </c>
    </row>
    <row r="25" customFormat="false" ht="15" hidden="false" customHeight="true" outlineLevel="0" collapsed="false">
      <c r="B25" s="31" t="s">
        <v>108</v>
      </c>
      <c r="C25" s="34" t="s">
        <v>25</v>
      </c>
      <c r="D25" s="31" t="s">
        <v>77</v>
      </c>
      <c r="E25" s="31" t="s">
        <v>67</v>
      </c>
      <c r="F25" s="32" t="n">
        <v>22000</v>
      </c>
      <c r="G25" s="31" t="s">
        <v>77</v>
      </c>
      <c r="H25" s="31" t="s">
        <v>78</v>
      </c>
      <c r="I25" s="31" t="s">
        <v>79</v>
      </c>
    </row>
    <row r="26" customFormat="false" ht="15" hidden="false" customHeight="true" outlineLevel="0" collapsed="false">
      <c r="B26" s="29" t="s">
        <v>108</v>
      </c>
      <c r="C26" s="33" t="s">
        <v>25</v>
      </c>
      <c r="D26" s="29" t="s">
        <v>109</v>
      </c>
      <c r="E26" s="29" t="s">
        <v>63</v>
      </c>
      <c r="F26" s="30" t="n">
        <v>7396</v>
      </c>
      <c r="G26" s="29" t="s">
        <v>109</v>
      </c>
      <c r="H26" s="29" t="s">
        <v>110</v>
      </c>
      <c r="I26" s="29" t="s">
        <v>111</v>
      </c>
    </row>
    <row r="27" customFormat="false" ht="15" hidden="false" customHeight="true" outlineLevel="0" collapsed="false">
      <c r="B27" s="31" t="s">
        <v>108</v>
      </c>
      <c r="C27" s="34" t="s">
        <v>21</v>
      </c>
      <c r="D27" s="31" t="s">
        <v>112</v>
      </c>
      <c r="E27" s="31" t="s">
        <v>63</v>
      </c>
      <c r="F27" s="32" t="n">
        <v>37021</v>
      </c>
      <c r="G27" s="31" t="s">
        <v>112</v>
      </c>
      <c r="H27" s="31" t="s">
        <v>113</v>
      </c>
      <c r="I27" s="31" t="s">
        <v>114</v>
      </c>
    </row>
    <row r="28" customFormat="false" ht="15" hidden="false" customHeight="true" outlineLevel="0" collapsed="false">
      <c r="B28" s="29" t="s">
        <v>108</v>
      </c>
      <c r="C28" s="33" t="s">
        <v>15</v>
      </c>
      <c r="D28" s="29" t="s">
        <v>115</v>
      </c>
      <c r="E28" s="29" t="s">
        <v>63</v>
      </c>
      <c r="F28" s="30" t="n">
        <v>5478</v>
      </c>
      <c r="G28" s="29" t="s">
        <v>115</v>
      </c>
      <c r="H28" s="29" t="s">
        <v>116</v>
      </c>
      <c r="I28" s="29" t="s">
        <v>117</v>
      </c>
    </row>
    <row r="29" customFormat="false" ht="15" hidden="false" customHeight="true" outlineLevel="0" collapsed="false">
      <c r="B29" s="31" t="s">
        <v>108</v>
      </c>
      <c r="C29" s="34" t="s">
        <v>30</v>
      </c>
      <c r="D29" s="31" t="s">
        <v>118</v>
      </c>
      <c r="E29" s="31" t="s">
        <v>63</v>
      </c>
      <c r="F29" s="32" t="n">
        <v>96657</v>
      </c>
      <c r="G29" s="31" t="s">
        <v>118</v>
      </c>
      <c r="H29" s="31" t="s">
        <v>119</v>
      </c>
      <c r="I29" s="31" t="s">
        <v>120</v>
      </c>
    </row>
    <row r="30" customFormat="false" ht="15" hidden="false" customHeight="true" outlineLevel="0" collapsed="false">
      <c r="B30" s="29" t="s">
        <v>108</v>
      </c>
      <c r="C30" s="33" t="s">
        <v>23</v>
      </c>
      <c r="D30" s="29" t="s">
        <v>105</v>
      </c>
      <c r="E30" s="29" t="s">
        <v>63</v>
      </c>
      <c r="F30" s="30" t="n">
        <v>1229</v>
      </c>
      <c r="G30" s="29" t="s">
        <v>105</v>
      </c>
      <c r="H30" s="29" t="s">
        <v>106</v>
      </c>
      <c r="I30" s="29" t="s">
        <v>107</v>
      </c>
    </row>
    <row r="31" customFormat="false" ht="15" hidden="false" customHeight="true" outlineLevel="0" collapsed="false">
      <c r="B31" s="31" t="s">
        <v>121</v>
      </c>
      <c r="C31" s="34" t="s">
        <v>28</v>
      </c>
      <c r="D31" s="31" t="s">
        <v>122</v>
      </c>
      <c r="E31" s="31" t="s">
        <v>63</v>
      </c>
      <c r="F31" s="32" t="n">
        <v>17361</v>
      </c>
      <c r="G31" s="31" t="s">
        <v>122</v>
      </c>
      <c r="H31" s="31" t="s">
        <v>123</v>
      </c>
      <c r="I31" s="31" t="s">
        <v>124</v>
      </c>
    </row>
    <row r="32" customFormat="false" ht="15" hidden="false" customHeight="true" outlineLevel="0" collapsed="false">
      <c r="B32" s="29" t="s">
        <v>121</v>
      </c>
      <c r="C32" s="33" t="s">
        <v>25</v>
      </c>
      <c r="D32" s="29" t="s">
        <v>125</v>
      </c>
      <c r="E32" s="29" t="s">
        <v>63</v>
      </c>
      <c r="F32" s="30" t="n">
        <v>9586</v>
      </c>
      <c r="G32" s="29" t="s">
        <v>125</v>
      </c>
      <c r="H32" s="29" t="s">
        <v>126</v>
      </c>
      <c r="I32" s="29" t="s">
        <v>127</v>
      </c>
    </row>
    <row r="33" customFormat="false" ht="15" hidden="false" customHeight="true" outlineLevel="0" collapsed="false">
      <c r="B33" s="31" t="s">
        <v>121</v>
      </c>
      <c r="C33" s="34" t="s">
        <v>15</v>
      </c>
      <c r="D33" s="31" t="s">
        <v>70</v>
      </c>
      <c r="E33" s="31" t="s">
        <v>67</v>
      </c>
      <c r="F33" s="32" t="n">
        <v>140000</v>
      </c>
      <c r="G33" s="31" t="s">
        <v>70</v>
      </c>
      <c r="H33" s="31" t="s">
        <v>71</v>
      </c>
      <c r="I33" s="31" t="s">
        <v>72</v>
      </c>
    </row>
    <row r="34" customFormat="false" ht="15" hidden="false" customHeight="true" outlineLevel="0" collapsed="false">
      <c r="B34" s="29" t="s">
        <v>121</v>
      </c>
      <c r="C34" s="33" t="s">
        <v>15</v>
      </c>
      <c r="D34" s="29" t="s">
        <v>128</v>
      </c>
      <c r="E34" s="29" t="s">
        <v>63</v>
      </c>
      <c r="F34" s="30" t="n">
        <v>7181</v>
      </c>
      <c r="G34" s="29" t="s">
        <v>128</v>
      </c>
      <c r="H34" s="29" t="s">
        <v>129</v>
      </c>
      <c r="I34" s="29" t="s">
        <v>130</v>
      </c>
    </row>
    <row r="35" customFormat="false" ht="15" hidden="false" customHeight="true" outlineLevel="0" collapsed="false">
      <c r="B35" s="31" t="s">
        <v>121</v>
      </c>
      <c r="C35" s="34" t="s">
        <v>30</v>
      </c>
      <c r="D35" s="31" t="s">
        <v>118</v>
      </c>
      <c r="E35" s="31" t="s">
        <v>63</v>
      </c>
      <c r="F35" s="32" t="n">
        <v>104629</v>
      </c>
      <c r="G35" s="31" t="s">
        <v>118</v>
      </c>
      <c r="H35" s="31" t="s">
        <v>119</v>
      </c>
      <c r="I35" s="31" t="s">
        <v>120</v>
      </c>
    </row>
    <row r="36" customFormat="false" ht="15" hidden="false" customHeight="true" outlineLevel="0" collapsed="false">
      <c r="B36" s="29" t="s">
        <v>121</v>
      </c>
      <c r="C36" s="33" t="s">
        <v>23</v>
      </c>
      <c r="D36" s="29" t="s">
        <v>131</v>
      </c>
      <c r="E36" s="29" t="s">
        <v>67</v>
      </c>
      <c r="F36" s="30" t="n">
        <v>40000</v>
      </c>
      <c r="G36" s="29" t="s">
        <v>131</v>
      </c>
      <c r="H36" s="29" t="s">
        <v>15</v>
      </c>
      <c r="I36" s="29" t="s">
        <v>132</v>
      </c>
    </row>
    <row r="37" customFormat="false" ht="15" hidden="false" customHeight="true" outlineLevel="0" collapsed="false">
      <c r="B37" s="31" t="s">
        <v>133</v>
      </c>
      <c r="C37" s="34" t="s">
        <v>28</v>
      </c>
      <c r="D37" s="31" t="s">
        <v>74</v>
      </c>
      <c r="E37" s="31" t="s">
        <v>63</v>
      </c>
      <c r="F37" s="32" t="n">
        <v>20140</v>
      </c>
      <c r="G37" s="31" t="s">
        <v>74</v>
      </c>
      <c r="H37" s="31" t="s">
        <v>75</v>
      </c>
      <c r="I37" s="31" t="s">
        <v>76</v>
      </c>
    </row>
    <row r="38" customFormat="false" ht="15" hidden="false" customHeight="true" outlineLevel="0" collapsed="false">
      <c r="B38" s="29" t="s">
        <v>133</v>
      </c>
      <c r="C38" s="33" t="s">
        <v>25</v>
      </c>
      <c r="D38" s="29" t="s">
        <v>80</v>
      </c>
      <c r="E38" s="29" t="s">
        <v>63</v>
      </c>
      <c r="F38" s="30" t="n">
        <v>7370</v>
      </c>
      <c r="G38" s="29" t="s">
        <v>80</v>
      </c>
      <c r="H38" s="29" t="s">
        <v>81</v>
      </c>
      <c r="I38" s="29" t="s">
        <v>82</v>
      </c>
    </row>
    <row r="39" customFormat="false" ht="15" hidden="false" customHeight="true" outlineLevel="0" collapsed="false">
      <c r="B39" s="31" t="s">
        <v>133</v>
      </c>
      <c r="C39" s="34" t="s">
        <v>18</v>
      </c>
      <c r="D39" s="31" t="s">
        <v>93</v>
      </c>
      <c r="E39" s="31" t="s">
        <v>63</v>
      </c>
      <c r="F39" s="32" t="n">
        <v>25261</v>
      </c>
      <c r="G39" s="31" t="s">
        <v>93</v>
      </c>
      <c r="H39" s="31" t="s">
        <v>94</v>
      </c>
      <c r="I39" s="31" t="s">
        <v>95</v>
      </c>
    </row>
    <row r="40" customFormat="false" ht="15" hidden="false" customHeight="true" outlineLevel="0" collapsed="false">
      <c r="B40" s="29" t="s">
        <v>133</v>
      </c>
      <c r="C40" s="33" t="s">
        <v>21</v>
      </c>
      <c r="D40" s="29" t="s">
        <v>134</v>
      </c>
      <c r="E40" s="29" t="s">
        <v>63</v>
      </c>
      <c r="F40" s="30" t="n">
        <v>36148</v>
      </c>
      <c r="G40" s="29" t="s">
        <v>134</v>
      </c>
      <c r="H40" s="29" t="s">
        <v>135</v>
      </c>
      <c r="I40" s="29" t="s">
        <v>120</v>
      </c>
    </row>
    <row r="41" customFormat="false" ht="15" hidden="false" customHeight="true" outlineLevel="0" collapsed="false">
      <c r="B41" s="31" t="s">
        <v>133</v>
      </c>
      <c r="C41" s="34" t="s">
        <v>15</v>
      </c>
      <c r="D41" s="31" t="s">
        <v>96</v>
      </c>
      <c r="E41" s="31" t="s">
        <v>63</v>
      </c>
      <c r="F41" s="32" t="n">
        <v>22460</v>
      </c>
      <c r="G41" s="31" t="s">
        <v>96</v>
      </c>
      <c r="H41" s="31" t="s">
        <v>97</v>
      </c>
      <c r="I41" s="31" t="s">
        <v>98</v>
      </c>
    </row>
    <row r="42" customFormat="false" ht="15" hidden="false" customHeight="true" outlineLevel="0" collapsed="false">
      <c r="B42" s="29" t="s">
        <v>133</v>
      </c>
      <c r="C42" s="33" t="s">
        <v>15</v>
      </c>
      <c r="D42" s="29" t="s">
        <v>96</v>
      </c>
      <c r="E42" s="29" t="s">
        <v>63</v>
      </c>
      <c r="F42" s="30" t="n">
        <v>7508</v>
      </c>
      <c r="G42" s="29" t="s">
        <v>96</v>
      </c>
      <c r="H42" s="29" t="s">
        <v>97</v>
      </c>
      <c r="I42" s="29" t="s">
        <v>98</v>
      </c>
    </row>
    <row r="43" customFormat="false" ht="15" hidden="false" customHeight="true" outlineLevel="0" collapsed="false">
      <c r="B43" s="31" t="s">
        <v>133</v>
      </c>
      <c r="C43" s="34" t="s">
        <v>32</v>
      </c>
      <c r="D43" s="31" t="s">
        <v>70</v>
      </c>
      <c r="E43" s="31" t="s">
        <v>67</v>
      </c>
      <c r="F43" s="32" t="n">
        <v>100000</v>
      </c>
      <c r="G43" s="31" t="s">
        <v>70</v>
      </c>
      <c r="H43" s="31" t="s">
        <v>71</v>
      </c>
      <c r="I43" s="31" t="s">
        <v>72</v>
      </c>
    </row>
    <row r="44" customFormat="false" ht="15" hidden="false" customHeight="true" outlineLevel="0" collapsed="false">
      <c r="B44" s="29" t="s">
        <v>136</v>
      </c>
      <c r="C44" s="33" t="s">
        <v>28</v>
      </c>
      <c r="D44" s="29" t="s">
        <v>122</v>
      </c>
      <c r="E44" s="29" t="s">
        <v>63</v>
      </c>
      <c r="F44" s="30" t="n">
        <v>9722</v>
      </c>
      <c r="G44" s="29" t="s">
        <v>122</v>
      </c>
      <c r="H44" s="29" t="s">
        <v>123</v>
      </c>
      <c r="I44" s="29" t="s">
        <v>124</v>
      </c>
    </row>
    <row r="45" customFormat="false" ht="15" hidden="false" customHeight="true" outlineLevel="0" collapsed="false">
      <c r="B45" s="31" t="s">
        <v>136</v>
      </c>
      <c r="C45" s="34" t="s">
        <v>25</v>
      </c>
      <c r="D45" s="31" t="s">
        <v>90</v>
      </c>
      <c r="E45" s="31" t="s">
        <v>63</v>
      </c>
      <c r="F45" s="32" t="n">
        <v>4873</v>
      </c>
      <c r="G45" s="31" t="s">
        <v>90</v>
      </c>
      <c r="H45" s="31" t="s">
        <v>91</v>
      </c>
      <c r="I45" s="31" t="s">
        <v>92</v>
      </c>
    </row>
    <row r="46" customFormat="false" ht="15" hidden="false" customHeight="true" outlineLevel="0" collapsed="false">
      <c r="B46" s="29" t="s">
        <v>136</v>
      </c>
      <c r="C46" s="33" t="s">
        <v>25</v>
      </c>
      <c r="D46" s="29" t="s">
        <v>125</v>
      </c>
      <c r="E46" s="29" t="s">
        <v>63</v>
      </c>
      <c r="F46" s="30" t="n">
        <v>8756</v>
      </c>
      <c r="G46" s="29" t="s">
        <v>125</v>
      </c>
      <c r="H46" s="29" t="s">
        <v>126</v>
      </c>
      <c r="I46" s="29" t="s">
        <v>127</v>
      </c>
    </row>
    <row r="47" customFormat="false" ht="15" hidden="false" customHeight="true" outlineLevel="0" collapsed="false">
      <c r="B47" s="31" t="s">
        <v>136</v>
      </c>
      <c r="C47" s="34" t="s">
        <v>15</v>
      </c>
      <c r="D47" s="31" t="s">
        <v>128</v>
      </c>
      <c r="E47" s="31" t="s">
        <v>63</v>
      </c>
      <c r="F47" s="32" t="n">
        <v>14630</v>
      </c>
      <c r="G47" s="31" t="s">
        <v>128</v>
      </c>
      <c r="H47" s="31" t="s">
        <v>129</v>
      </c>
      <c r="I47" s="31" t="s">
        <v>130</v>
      </c>
    </row>
    <row r="48" customFormat="false" ht="15" hidden="false" customHeight="true" outlineLevel="0" collapsed="false">
      <c r="B48" s="29" t="s">
        <v>136</v>
      </c>
      <c r="C48" s="33" t="s">
        <v>15</v>
      </c>
      <c r="D48" s="29" t="s">
        <v>115</v>
      </c>
      <c r="E48" s="29" t="s">
        <v>63</v>
      </c>
      <c r="F48" s="30" t="n">
        <v>11273</v>
      </c>
      <c r="G48" s="29" t="s">
        <v>115</v>
      </c>
      <c r="H48" s="29" t="s">
        <v>116</v>
      </c>
      <c r="I48" s="29" t="s">
        <v>117</v>
      </c>
    </row>
    <row r="49" customFormat="false" ht="15" hidden="false" customHeight="true" outlineLevel="0" collapsed="false">
      <c r="B49" s="31" t="s">
        <v>136</v>
      </c>
      <c r="C49" s="34" t="s">
        <v>32</v>
      </c>
      <c r="D49" s="31" t="s">
        <v>137</v>
      </c>
      <c r="E49" s="31" t="s">
        <v>63</v>
      </c>
      <c r="F49" s="32" t="n">
        <v>22965</v>
      </c>
      <c r="G49" s="31" t="s">
        <v>137</v>
      </c>
      <c r="H49" s="31" t="s">
        <v>138</v>
      </c>
      <c r="I49" s="31" t="s">
        <v>139</v>
      </c>
    </row>
    <row r="50" customFormat="false" ht="15" hidden="false" customHeight="true" outlineLevel="0" collapsed="false">
      <c r="B50" s="29" t="s">
        <v>136</v>
      </c>
      <c r="C50" s="33" t="s">
        <v>23</v>
      </c>
      <c r="D50" s="29" t="s">
        <v>140</v>
      </c>
      <c r="E50" s="29" t="s">
        <v>63</v>
      </c>
      <c r="F50" s="30" t="n">
        <v>3190</v>
      </c>
      <c r="G50" s="29" t="s">
        <v>140</v>
      </c>
      <c r="H50" s="29" t="s">
        <v>141</v>
      </c>
      <c r="I50" s="29" t="s">
        <v>142</v>
      </c>
    </row>
    <row r="51" customFormat="false" ht="15" hidden="false" customHeight="true" outlineLevel="0" collapsed="false">
      <c r="B51" s="31" t="s">
        <v>143</v>
      </c>
      <c r="C51" s="34" t="s">
        <v>18</v>
      </c>
      <c r="D51" s="31" t="s">
        <v>66</v>
      </c>
      <c r="E51" s="31" t="s">
        <v>67</v>
      </c>
      <c r="F51" s="32" t="n">
        <v>95000</v>
      </c>
      <c r="G51" s="31" t="s">
        <v>66</v>
      </c>
      <c r="H51" s="31" t="s">
        <v>68</v>
      </c>
      <c r="I51" s="31" t="s">
        <v>69</v>
      </c>
    </row>
    <row r="52" customFormat="false" ht="15" hidden="false" customHeight="true" outlineLevel="0" collapsed="false">
      <c r="B52" s="29" t="s">
        <v>143</v>
      </c>
      <c r="C52" s="33" t="s">
        <v>21</v>
      </c>
      <c r="D52" s="29" t="s">
        <v>66</v>
      </c>
      <c r="E52" s="29" t="s">
        <v>67</v>
      </c>
      <c r="F52" s="30" t="n">
        <v>62000</v>
      </c>
      <c r="G52" s="29" t="s">
        <v>66</v>
      </c>
      <c r="H52" s="29" t="s">
        <v>68</v>
      </c>
      <c r="I52" s="29" t="s">
        <v>69</v>
      </c>
    </row>
    <row r="53" customFormat="false" ht="15" hidden="false" customHeight="true" outlineLevel="0" collapsed="false">
      <c r="B53" s="31" t="s">
        <v>143</v>
      </c>
      <c r="C53" s="34" t="s">
        <v>21</v>
      </c>
      <c r="D53" s="31" t="s">
        <v>144</v>
      </c>
      <c r="E53" s="31" t="s">
        <v>63</v>
      </c>
      <c r="F53" s="32" t="n">
        <v>28788</v>
      </c>
      <c r="G53" s="31" t="s">
        <v>144</v>
      </c>
      <c r="H53" s="31" t="s">
        <v>145</v>
      </c>
      <c r="I53" s="31" t="s">
        <v>146</v>
      </c>
    </row>
    <row r="54" customFormat="false" ht="15" hidden="false" customHeight="true" outlineLevel="0" collapsed="false">
      <c r="B54" s="29" t="s">
        <v>143</v>
      </c>
      <c r="C54" s="33" t="s">
        <v>15</v>
      </c>
      <c r="D54" s="29" t="s">
        <v>83</v>
      </c>
      <c r="E54" s="29" t="s">
        <v>67</v>
      </c>
      <c r="F54" s="30" t="n">
        <v>105000</v>
      </c>
      <c r="G54" s="29" t="s">
        <v>83</v>
      </c>
      <c r="H54" s="29" t="s">
        <v>84</v>
      </c>
      <c r="I54" s="29" t="s">
        <v>85</v>
      </c>
    </row>
    <row r="55" customFormat="false" ht="15" hidden="false" customHeight="true" outlineLevel="0" collapsed="false">
      <c r="B55" s="31" t="s">
        <v>143</v>
      </c>
      <c r="C55" s="34" t="s">
        <v>15</v>
      </c>
      <c r="D55" s="31" t="s">
        <v>96</v>
      </c>
      <c r="E55" s="31" t="s">
        <v>63</v>
      </c>
      <c r="F55" s="32" t="n">
        <v>20002</v>
      </c>
      <c r="G55" s="31" t="s">
        <v>96</v>
      </c>
      <c r="H55" s="31" t="s">
        <v>97</v>
      </c>
      <c r="I55" s="31" t="s">
        <v>98</v>
      </c>
    </row>
    <row r="56" customFormat="false" ht="15" hidden="false" customHeight="true" outlineLevel="0" collapsed="false">
      <c r="B56" s="29" t="s">
        <v>143</v>
      </c>
      <c r="C56" s="33" t="s">
        <v>15</v>
      </c>
      <c r="D56" s="29" t="s">
        <v>115</v>
      </c>
      <c r="E56" s="29" t="s">
        <v>63</v>
      </c>
      <c r="F56" s="30" t="n">
        <v>13126</v>
      </c>
      <c r="G56" s="29" t="s">
        <v>115</v>
      </c>
      <c r="H56" s="29" t="s">
        <v>116</v>
      </c>
      <c r="I56" s="29" t="s">
        <v>117</v>
      </c>
    </row>
    <row r="57" customFormat="false" ht="15" hidden="false" customHeight="true" outlineLevel="0" collapsed="false">
      <c r="B57" s="31" t="s">
        <v>143</v>
      </c>
      <c r="C57" s="34" t="s">
        <v>15</v>
      </c>
      <c r="D57" s="31" t="s">
        <v>128</v>
      </c>
      <c r="E57" s="31" t="s">
        <v>63</v>
      </c>
      <c r="F57" s="32" t="n">
        <v>15587</v>
      </c>
      <c r="G57" s="31" t="s">
        <v>128</v>
      </c>
      <c r="H57" s="31" t="s">
        <v>129</v>
      </c>
      <c r="I57" s="31" t="s">
        <v>130</v>
      </c>
    </row>
    <row r="58" customFormat="false" ht="15" hidden="false" customHeight="true" outlineLevel="0" collapsed="false">
      <c r="B58" s="29" t="s">
        <v>143</v>
      </c>
      <c r="C58" s="33" t="s">
        <v>32</v>
      </c>
      <c r="D58" s="29" t="s">
        <v>70</v>
      </c>
      <c r="E58" s="29" t="s">
        <v>67</v>
      </c>
      <c r="F58" s="30" t="n">
        <v>110000</v>
      </c>
      <c r="G58" s="29" t="s">
        <v>70</v>
      </c>
      <c r="H58" s="29" t="s">
        <v>71</v>
      </c>
      <c r="I58" s="29" t="s">
        <v>72</v>
      </c>
    </row>
    <row r="59" customFormat="false" ht="15" hidden="false" customHeight="true" outlineLevel="0" collapsed="false">
      <c r="B59" s="31" t="s">
        <v>143</v>
      </c>
      <c r="C59" s="34" t="s">
        <v>30</v>
      </c>
      <c r="D59" s="31" t="s">
        <v>118</v>
      </c>
      <c r="E59" s="31" t="s">
        <v>63</v>
      </c>
      <c r="F59" s="32" t="n">
        <v>88545</v>
      </c>
      <c r="G59" s="31" t="s">
        <v>118</v>
      </c>
      <c r="H59" s="31" t="s">
        <v>119</v>
      </c>
      <c r="I59" s="31" t="s">
        <v>120</v>
      </c>
    </row>
    <row r="60" customFormat="false" ht="15" hidden="false" customHeight="true" outlineLevel="0" collapsed="false">
      <c r="B60" s="29" t="s">
        <v>143</v>
      </c>
      <c r="C60" s="33" t="s">
        <v>23</v>
      </c>
      <c r="D60" s="29" t="s">
        <v>105</v>
      </c>
      <c r="E60" s="29" t="s">
        <v>63</v>
      </c>
      <c r="F60" s="30" t="n">
        <v>2299</v>
      </c>
      <c r="G60" s="29" t="s">
        <v>105</v>
      </c>
      <c r="H60" s="29" t="s">
        <v>106</v>
      </c>
      <c r="I60" s="29" t="s">
        <v>107</v>
      </c>
    </row>
    <row r="61" customFormat="false" ht="15" hidden="false" customHeight="true" outlineLevel="0" collapsed="false">
      <c r="B61" s="31" t="s">
        <v>143</v>
      </c>
      <c r="C61" s="34" t="s">
        <v>23</v>
      </c>
      <c r="D61" s="31" t="s">
        <v>105</v>
      </c>
      <c r="E61" s="31" t="s">
        <v>63</v>
      </c>
      <c r="F61" s="32" t="n">
        <v>3349</v>
      </c>
      <c r="G61" s="31" t="s">
        <v>105</v>
      </c>
      <c r="H61" s="31" t="s">
        <v>106</v>
      </c>
      <c r="I61" s="31" t="s">
        <v>107</v>
      </c>
    </row>
    <row r="62" customFormat="false" ht="15" hidden="false" customHeight="true" outlineLevel="0" collapsed="false">
      <c r="B62" s="29" t="s">
        <v>143</v>
      </c>
      <c r="C62" s="33" t="s">
        <v>23</v>
      </c>
      <c r="D62" s="29" t="s">
        <v>140</v>
      </c>
      <c r="E62" s="29" t="s">
        <v>63</v>
      </c>
      <c r="F62" s="30" t="n">
        <v>4064</v>
      </c>
      <c r="G62" s="29" t="s">
        <v>140</v>
      </c>
      <c r="H62" s="29" t="s">
        <v>141</v>
      </c>
      <c r="I62" s="29" t="s">
        <v>142</v>
      </c>
    </row>
    <row r="63" customFormat="false" ht="15" hidden="false" customHeight="true" outlineLevel="0" collapsed="false">
      <c r="B63" s="31" t="s">
        <v>147</v>
      </c>
      <c r="C63" s="34" t="s">
        <v>25</v>
      </c>
      <c r="D63" s="31" t="s">
        <v>90</v>
      </c>
      <c r="E63" s="31" t="s">
        <v>63</v>
      </c>
      <c r="F63" s="32" t="n">
        <v>7712</v>
      </c>
      <c r="G63" s="31" t="s">
        <v>90</v>
      </c>
      <c r="H63" s="31" t="s">
        <v>91</v>
      </c>
      <c r="I63" s="31" t="s">
        <v>92</v>
      </c>
    </row>
    <row r="64" customFormat="false" ht="15" hidden="false" customHeight="true" outlineLevel="0" collapsed="false">
      <c r="B64" s="29" t="s">
        <v>147</v>
      </c>
      <c r="C64" s="33" t="s">
        <v>18</v>
      </c>
      <c r="D64" s="29" t="s">
        <v>93</v>
      </c>
      <c r="E64" s="29" t="s">
        <v>63</v>
      </c>
      <c r="F64" s="30" t="n">
        <v>38674</v>
      </c>
      <c r="G64" s="29" t="s">
        <v>93</v>
      </c>
      <c r="H64" s="29" t="s">
        <v>94</v>
      </c>
      <c r="I64" s="29" t="s">
        <v>95</v>
      </c>
    </row>
    <row r="65" customFormat="false" ht="15" hidden="false" customHeight="true" outlineLevel="0" collapsed="false">
      <c r="B65" s="31" t="s">
        <v>147</v>
      </c>
      <c r="C65" s="34" t="s">
        <v>32</v>
      </c>
      <c r="D65" s="31" t="s">
        <v>137</v>
      </c>
      <c r="E65" s="31" t="s">
        <v>63</v>
      </c>
      <c r="F65" s="32" t="n">
        <v>18469</v>
      </c>
      <c r="G65" s="31" t="s">
        <v>137</v>
      </c>
      <c r="H65" s="31" t="s">
        <v>138</v>
      </c>
      <c r="I65" s="31" t="s">
        <v>139</v>
      </c>
    </row>
    <row r="66" customFormat="false" ht="15" hidden="false" customHeight="true" outlineLevel="0" collapsed="false">
      <c r="B66" s="29" t="s">
        <v>147</v>
      </c>
      <c r="C66" s="33" t="s">
        <v>32</v>
      </c>
      <c r="D66" s="29" t="s">
        <v>102</v>
      </c>
      <c r="E66" s="29" t="s">
        <v>63</v>
      </c>
      <c r="F66" s="30" t="n">
        <v>11288</v>
      </c>
      <c r="G66" s="29" t="s">
        <v>102</v>
      </c>
      <c r="H66" s="29" t="s">
        <v>103</v>
      </c>
      <c r="I66" s="29" t="s">
        <v>104</v>
      </c>
    </row>
    <row r="67" customFormat="false" ht="15" hidden="false" customHeight="true" outlineLevel="0" collapsed="false">
      <c r="B67" s="31" t="s">
        <v>147</v>
      </c>
      <c r="C67" s="34" t="s">
        <v>32</v>
      </c>
      <c r="D67" s="31" t="s">
        <v>102</v>
      </c>
      <c r="E67" s="31" t="s">
        <v>63</v>
      </c>
      <c r="F67" s="32" t="n">
        <v>40756</v>
      </c>
      <c r="G67" s="31" t="s">
        <v>102</v>
      </c>
      <c r="H67" s="31" t="s">
        <v>103</v>
      </c>
      <c r="I67" s="31" t="s">
        <v>104</v>
      </c>
    </row>
    <row r="68" customFormat="false" ht="15" hidden="false" customHeight="true" outlineLevel="0" collapsed="false">
      <c r="B68" s="29" t="s">
        <v>147</v>
      </c>
      <c r="C68" s="33" t="s">
        <v>30</v>
      </c>
      <c r="D68" s="29" t="s">
        <v>118</v>
      </c>
      <c r="E68" s="29" t="s">
        <v>63</v>
      </c>
      <c r="F68" s="30" t="n">
        <v>172044</v>
      </c>
      <c r="G68" s="29" t="s">
        <v>118</v>
      </c>
      <c r="H68" s="29" t="s">
        <v>119</v>
      </c>
      <c r="I68" s="29" t="s">
        <v>120</v>
      </c>
    </row>
    <row r="69" customFormat="false" ht="15" hidden="false" customHeight="true" outlineLevel="0" collapsed="false">
      <c r="B69" s="31" t="s">
        <v>147</v>
      </c>
      <c r="C69" s="34" t="s">
        <v>23</v>
      </c>
      <c r="D69" s="31" t="s">
        <v>148</v>
      </c>
      <c r="E69" s="31" t="s">
        <v>63</v>
      </c>
      <c r="F69" s="32" t="n">
        <v>740</v>
      </c>
      <c r="G69" s="31" t="s">
        <v>148</v>
      </c>
      <c r="H69" s="31" t="s">
        <v>149</v>
      </c>
      <c r="I69" s="31" t="s">
        <v>150</v>
      </c>
    </row>
    <row r="70" customFormat="false" ht="15" hidden="false" customHeight="true" outlineLevel="0" collapsed="false">
      <c r="B70" s="29" t="s">
        <v>151</v>
      </c>
      <c r="C70" s="33" t="s">
        <v>28</v>
      </c>
      <c r="D70" s="29" t="s">
        <v>122</v>
      </c>
      <c r="E70" s="29" t="s">
        <v>63</v>
      </c>
      <c r="F70" s="30" t="n">
        <v>12190</v>
      </c>
      <c r="G70" s="29" t="s">
        <v>122</v>
      </c>
      <c r="H70" s="29" t="s">
        <v>123</v>
      </c>
      <c r="I70" s="29" t="s">
        <v>124</v>
      </c>
    </row>
    <row r="71" customFormat="false" ht="15" hidden="false" customHeight="true" outlineLevel="0" collapsed="false">
      <c r="B71" s="31" t="s">
        <v>151</v>
      </c>
      <c r="C71" s="34" t="s">
        <v>21</v>
      </c>
      <c r="D71" s="31" t="s">
        <v>134</v>
      </c>
      <c r="E71" s="31" t="s">
        <v>63</v>
      </c>
      <c r="F71" s="32" t="n">
        <v>18182</v>
      </c>
      <c r="G71" s="31" t="s">
        <v>134</v>
      </c>
      <c r="H71" s="31" t="s">
        <v>135</v>
      </c>
      <c r="I71" s="31" t="s">
        <v>120</v>
      </c>
    </row>
    <row r="72" customFormat="false" ht="15" hidden="false" customHeight="true" outlineLevel="0" collapsed="false">
      <c r="B72" s="29" t="s">
        <v>151</v>
      </c>
      <c r="C72" s="33" t="s">
        <v>32</v>
      </c>
      <c r="D72" s="29" t="s">
        <v>70</v>
      </c>
      <c r="E72" s="29" t="s">
        <v>67</v>
      </c>
      <c r="F72" s="30" t="n">
        <v>120000</v>
      </c>
      <c r="G72" s="29" t="s">
        <v>70</v>
      </c>
      <c r="H72" s="29" t="s">
        <v>71</v>
      </c>
      <c r="I72" s="29" t="s">
        <v>72</v>
      </c>
    </row>
    <row r="73" customFormat="false" ht="15" hidden="false" customHeight="true" outlineLevel="0" collapsed="false">
      <c r="B73" s="31" t="s">
        <v>151</v>
      </c>
      <c r="C73" s="34" t="s">
        <v>32</v>
      </c>
      <c r="D73" s="31" t="s">
        <v>99</v>
      </c>
      <c r="E73" s="31" t="s">
        <v>63</v>
      </c>
      <c r="F73" s="32" t="n">
        <v>20509</v>
      </c>
      <c r="G73" s="31" t="s">
        <v>99</v>
      </c>
      <c r="H73" s="31" t="s">
        <v>100</v>
      </c>
      <c r="I73" s="31" t="s">
        <v>101</v>
      </c>
    </row>
    <row r="74" customFormat="false" ht="15" hidden="false" customHeight="true" outlineLevel="0" collapsed="false">
      <c r="B74" s="29" t="s">
        <v>152</v>
      </c>
      <c r="C74" s="33" t="s">
        <v>18</v>
      </c>
      <c r="D74" s="29" t="s">
        <v>93</v>
      </c>
      <c r="E74" s="29" t="s">
        <v>63</v>
      </c>
      <c r="F74" s="30" t="n">
        <v>25486</v>
      </c>
      <c r="G74" s="29" t="s">
        <v>93</v>
      </c>
      <c r="H74" s="29" t="s">
        <v>94</v>
      </c>
      <c r="I74" s="29" t="s">
        <v>95</v>
      </c>
    </row>
    <row r="75" customFormat="false" ht="15" hidden="false" customHeight="true" outlineLevel="0" collapsed="false">
      <c r="B75" s="31" t="s">
        <v>152</v>
      </c>
      <c r="C75" s="34" t="s">
        <v>18</v>
      </c>
      <c r="D75" s="31" t="s">
        <v>93</v>
      </c>
      <c r="E75" s="31" t="s">
        <v>63</v>
      </c>
      <c r="F75" s="32" t="n">
        <v>8037</v>
      </c>
      <c r="G75" s="31" t="s">
        <v>93</v>
      </c>
      <c r="H75" s="31" t="s">
        <v>94</v>
      </c>
      <c r="I75" s="31" t="s">
        <v>95</v>
      </c>
    </row>
    <row r="76" customFormat="false" ht="15" hidden="false" customHeight="true" outlineLevel="0" collapsed="false">
      <c r="B76" s="29" t="s">
        <v>152</v>
      </c>
      <c r="C76" s="33" t="s">
        <v>15</v>
      </c>
      <c r="D76" s="29" t="s">
        <v>96</v>
      </c>
      <c r="E76" s="29" t="s">
        <v>63</v>
      </c>
      <c r="F76" s="30" t="n">
        <v>21085</v>
      </c>
      <c r="G76" s="29" t="s">
        <v>96</v>
      </c>
      <c r="H76" s="29" t="s">
        <v>97</v>
      </c>
      <c r="I76" s="29" t="s">
        <v>98</v>
      </c>
    </row>
    <row r="77" customFormat="false" ht="15" hidden="false" customHeight="true" outlineLevel="0" collapsed="false">
      <c r="B77" s="31" t="s">
        <v>152</v>
      </c>
      <c r="C77" s="34" t="s">
        <v>30</v>
      </c>
      <c r="D77" s="31" t="s">
        <v>118</v>
      </c>
      <c r="E77" s="31" t="s">
        <v>63</v>
      </c>
      <c r="F77" s="32" t="n">
        <v>113642</v>
      </c>
      <c r="G77" s="31" t="s">
        <v>118</v>
      </c>
      <c r="H77" s="31" t="s">
        <v>119</v>
      </c>
      <c r="I77" s="31" t="s">
        <v>120</v>
      </c>
    </row>
    <row r="78" customFormat="false" ht="15" hidden="false" customHeight="true" outlineLevel="0" collapsed="false">
      <c r="B78" s="29" t="s">
        <v>152</v>
      </c>
      <c r="C78" s="33" t="s">
        <v>23</v>
      </c>
      <c r="D78" s="29" t="s">
        <v>131</v>
      </c>
      <c r="E78" s="29" t="s">
        <v>67</v>
      </c>
      <c r="F78" s="30" t="n">
        <v>45000</v>
      </c>
      <c r="G78" s="29" t="s">
        <v>131</v>
      </c>
      <c r="H78" s="29" t="s">
        <v>15</v>
      </c>
      <c r="I78" s="29" t="s">
        <v>132</v>
      </c>
    </row>
    <row r="79" customFormat="false" ht="15" hidden="false" customHeight="true" outlineLevel="0" collapsed="false">
      <c r="B79" s="31" t="s">
        <v>152</v>
      </c>
      <c r="C79" s="34" t="s">
        <v>23</v>
      </c>
      <c r="D79" s="31" t="s">
        <v>131</v>
      </c>
      <c r="E79" s="31" t="s">
        <v>67</v>
      </c>
      <c r="F79" s="32" t="n">
        <v>30000</v>
      </c>
      <c r="G79" s="31" t="s">
        <v>131</v>
      </c>
      <c r="H79" s="31" t="s">
        <v>15</v>
      </c>
      <c r="I79" s="31" t="s">
        <v>132</v>
      </c>
    </row>
    <row r="80" customFormat="false" ht="15" hidden="false" customHeight="true" outlineLevel="0" collapsed="false">
      <c r="B80" s="29" t="s">
        <v>152</v>
      </c>
      <c r="C80" s="33" t="s">
        <v>23</v>
      </c>
      <c r="D80" s="29" t="s">
        <v>105</v>
      </c>
      <c r="E80" s="29" t="s">
        <v>63</v>
      </c>
      <c r="F80" s="30" t="n">
        <v>1370</v>
      </c>
      <c r="G80" s="29" t="s">
        <v>105</v>
      </c>
      <c r="H80" s="29" t="s">
        <v>106</v>
      </c>
      <c r="I80" s="29" t="s">
        <v>107</v>
      </c>
    </row>
    <row r="81" customFormat="false" ht="15" hidden="false" customHeight="true" outlineLevel="0" collapsed="false">
      <c r="B81" s="31" t="s">
        <v>152</v>
      </c>
      <c r="C81" s="34" t="s">
        <v>23</v>
      </c>
      <c r="D81" s="31" t="s">
        <v>105</v>
      </c>
      <c r="E81" s="31" t="s">
        <v>63</v>
      </c>
      <c r="F81" s="32" t="n">
        <v>726</v>
      </c>
      <c r="G81" s="31" t="s">
        <v>105</v>
      </c>
      <c r="H81" s="31" t="s">
        <v>106</v>
      </c>
      <c r="I81" s="31" t="s">
        <v>107</v>
      </c>
    </row>
    <row r="82" customFormat="false" ht="15" hidden="false" customHeight="true" outlineLevel="0" collapsed="false">
      <c r="B82" s="29" t="s">
        <v>153</v>
      </c>
      <c r="C82" s="33" t="s">
        <v>25</v>
      </c>
      <c r="D82" s="29" t="s">
        <v>77</v>
      </c>
      <c r="E82" s="29" t="s">
        <v>67</v>
      </c>
      <c r="F82" s="30" t="n">
        <v>18000</v>
      </c>
      <c r="G82" s="29" t="s">
        <v>77</v>
      </c>
      <c r="H82" s="29" t="s">
        <v>78</v>
      </c>
      <c r="I82" s="29" t="s">
        <v>79</v>
      </c>
    </row>
    <row r="83" customFormat="false" ht="15" hidden="false" customHeight="true" outlineLevel="0" collapsed="false">
      <c r="B83" s="31" t="s">
        <v>153</v>
      </c>
      <c r="C83" s="34" t="s">
        <v>18</v>
      </c>
      <c r="D83" s="31" t="s">
        <v>134</v>
      </c>
      <c r="E83" s="31" t="s">
        <v>63</v>
      </c>
      <c r="F83" s="32" t="n">
        <v>21035</v>
      </c>
      <c r="G83" s="31" t="s">
        <v>134</v>
      </c>
      <c r="H83" s="31" t="s">
        <v>154</v>
      </c>
      <c r="I83" s="31" t="s">
        <v>120</v>
      </c>
    </row>
    <row r="84" customFormat="false" ht="15" hidden="false" customHeight="true" outlineLevel="0" collapsed="false">
      <c r="B84" s="29" t="s">
        <v>153</v>
      </c>
      <c r="C84" s="33" t="s">
        <v>23</v>
      </c>
      <c r="D84" s="29" t="s">
        <v>140</v>
      </c>
      <c r="E84" s="29" t="s">
        <v>63</v>
      </c>
      <c r="F84" s="30" t="n">
        <v>3149</v>
      </c>
      <c r="G84" s="29" t="s">
        <v>140</v>
      </c>
      <c r="H84" s="29" t="s">
        <v>141</v>
      </c>
      <c r="I84" s="29" t="s">
        <v>142</v>
      </c>
    </row>
    <row r="85" customFormat="false" ht="15" hidden="false" customHeight="true" outlineLevel="0" collapsed="false">
      <c r="B85" s="31" t="s">
        <v>155</v>
      </c>
      <c r="C85" s="34" t="s">
        <v>28</v>
      </c>
      <c r="D85" s="31" t="s">
        <v>70</v>
      </c>
      <c r="E85" s="31" t="s">
        <v>67</v>
      </c>
      <c r="F85" s="32" t="n">
        <v>85000</v>
      </c>
      <c r="G85" s="31" t="s">
        <v>70</v>
      </c>
      <c r="H85" s="31" t="s">
        <v>71</v>
      </c>
      <c r="I85" s="31" t="s">
        <v>72</v>
      </c>
    </row>
    <row r="86" customFormat="false" ht="15" hidden="false" customHeight="true" outlineLevel="0" collapsed="false">
      <c r="B86" s="29" t="s">
        <v>155</v>
      </c>
      <c r="C86" s="33" t="s">
        <v>25</v>
      </c>
      <c r="D86" s="29" t="s">
        <v>80</v>
      </c>
      <c r="E86" s="29" t="s">
        <v>63</v>
      </c>
      <c r="F86" s="30" t="n">
        <v>7009</v>
      </c>
      <c r="G86" s="29" t="s">
        <v>80</v>
      </c>
      <c r="H86" s="29" t="s">
        <v>81</v>
      </c>
      <c r="I86" s="29" t="s">
        <v>82</v>
      </c>
    </row>
    <row r="87" customFormat="false" ht="15" hidden="false" customHeight="true" outlineLevel="0" collapsed="false">
      <c r="B87" s="31" t="s">
        <v>155</v>
      </c>
      <c r="C87" s="34" t="s">
        <v>15</v>
      </c>
      <c r="D87" s="31" t="s">
        <v>156</v>
      </c>
      <c r="E87" s="31" t="s">
        <v>63</v>
      </c>
      <c r="F87" s="32" t="n">
        <v>7854</v>
      </c>
      <c r="G87" s="31" t="s">
        <v>156</v>
      </c>
      <c r="H87" s="31" t="s">
        <v>157</v>
      </c>
      <c r="I87" s="31" t="s">
        <v>158</v>
      </c>
    </row>
    <row r="88" customFormat="false" ht="15" hidden="false" customHeight="true" outlineLevel="0" collapsed="false">
      <c r="B88" s="29" t="s">
        <v>155</v>
      </c>
      <c r="C88" s="33" t="s">
        <v>15</v>
      </c>
      <c r="D88" s="29" t="s">
        <v>128</v>
      </c>
      <c r="E88" s="29" t="s">
        <v>63</v>
      </c>
      <c r="F88" s="30" t="n">
        <v>3551</v>
      </c>
      <c r="G88" s="29" t="s">
        <v>128</v>
      </c>
      <c r="H88" s="29" t="s">
        <v>129</v>
      </c>
      <c r="I88" s="29" t="s">
        <v>130</v>
      </c>
    </row>
    <row r="89" customFormat="false" ht="15" hidden="false" customHeight="true" outlineLevel="0" collapsed="false">
      <c r="B89" s="31" t="s">
        <v>155</v>
      </c>
      <c r="C89" s="34" t="s">
        <v>32</v>
      </c>
      <c r="D89" s="31" t="s">
        <v>70</v>
      </c>
      <c r="E89" s="31" t="s">
        <v>67</v>
      </c>
      <c r="F89" s="32" t="n">
        <v>130000</v>
      </c>
      <c r="G89" s="31" t="s">
        <v>70</v>
      </c>
      <c r="H89" s="31" t="s">
        <v>71</v>
      </c>
      <c r="I89" s="31" t="s">
        <v>72</v>
      </c>
    </row>
    <row r="90" customFormat="false" ht="15" hidden="false" customHeight="true" outlineLevel="0" collapsed="false">
      <c r="B90" s="29" t="s">
        <v>159</v>
      </c>
      <c r="C90" s="33" t="s">
        <v>25</v>
      </c>
      <c r="D90" s="29" t="s">
        <v>90</v>
      </c>
      <c r="E90" s="29" t="s">
        <v>63</v>
      </c>
      <c r="F90" s="30" t="n">
        <v>4672</v>
      </c>
      <c r="G90" s="29" t="s">
        <v>90</v>
      </c>
      <c r="H90" s="29" t="s">
        <v>91</v>
      </c>
      <c r="I90" s="29" t="s">
        <v>92</v>
      </c>
    </row>
    <row r="91" customFormat="false" ht="15" hidden="false" customHeight="true" outlineLevel="0" collapsed="false">
      <c r="B91" s="31" t="s">
        <v>159</v>
      </c>
      <c r="C91" s="34" t="s">
        <v>18</v>
      </c>
      <c r="D91" s="31" t="s">
        <v>62</v>
      </c>
      <c r="E91" s="31" t="s">
        <v>63</v>
      </c>
      <c r="F91" s="32" t="n">
        <v>15310</v>
      </c>
      <c r="G91" s="31" t="s">
        <v>62</v>
      </c>
      <c r="H91" s="31" t="s">
        <v>64</v>
      </c>
      <c r="I91" s="31" t="s">
        <v>65</v>
      </c>
    </row>
    <row r="92" customFormat="false" ht="15" hidden="false" customHeight="true" outlineLevel="0" collapsed="false">
      <c r="B92" s="29" t="s">
        <v>159</v>
      </c>
      <c r="C92" s="33" t="s">
        <v>23</v>
      </c>
      <c r="D92" s="29" t="s">
        <v>140</v>
      </c>
      <c r="E92" s="29" t="s">
        <v>63</v>
      </c>
      <c r="F92" s="30" t="n">
        <v>3663</v>
      </c>
      <c r="G92" s="29" t="s">
        <v>140</v>
      </c>
      <c r="H92" s="29" t="s">
        <v>141</v>
      </c>
      <c r="I92" s="29" t="s">
        <v>142</v>
      </c>
    </row>
    <row r="93" customFormat="false" ht="15" hidden="false" customHeight="true" outlineLevel="0" collapsed="false">
      <c r="B93" s="31" t="s">
        <v>160</v>
      </c>
      <c r="C93" s="34" t="s">
        <v>15</v>
      </c>
      <c r="D93" s="31" t="s">
        <v>96</v>
      </c>
      <c r="E93" s="31" t="s">
        <v>63</v>
      </c>
      <c r="F93" s="32" t="n">
        <v>15464</v>
      </c>
      <c r="G93" s="31" t="s">
        <v>96</v>
      </c>
      <c r="H93" s="31" t="s">
        <v>97</v>
      </c>
      <c r="I93" s="31" t="s">
        <v>98</v>
      </c>
    </row>
    <row r="94" customFormat="false" ht="15" hidden="false" customHeight="true" outlineLevel="0" collapsed="false">
      <c r="B94" s="29" t="s">
        <v>160</v>
      </c>
      <c r="C94" s="33" t="s">
        <v>32</v>
      </c>
      <c r="D94" s="29" t="s">
        <v>70</v>
      </c>
      <c r="E94" s="29" t="s">
        <v>67</v>
      </c>
      <c r="F94" s="30" t="n">
        <v>95000</v>
      </c>
      <c r="G94" s="29" t="s">
        <v>70</v>
      </c>
      <c r="H94" s="29" t="s">
        <v>71</v>
      </c>
      <c r="I94" s="29" t="s">
        <v>72</v>
      </c>
    </row>
    <row r="95" customFormat="false" ht="15" hidden="false" customHeight="true" outlineLevel="0" collapsed="false">
      <c r="B95" s="31" t="s">
        <v>160</v>
      </c>
      <c r="C95" s="34" t="s">
        <v>30</v>
      </c>
      <c r="D95" s="31" t="s">
        <v>118</v>
      </c>
      <c r="E95" s="31" t="s">
        <v>63</v>
      </c>
      <c r="F95" s="32" t="n">
        <v>54016</v>
      </c>
      <c r="G95" s="31" t="s">
        <v>118</v>
      </c>
      <c r="H95" s="31" t="s">
        <v>161</v>
      </c>
      <c r="I95" s="31" t="s">
        <v>120</v>
      </c>
    </row>
    <row r="96" customFormat="false" ht="15" hidden="false" customHeight="true" outlineLevel="0" collapsed="false">
      <c r="B96" s="29" t="s">
        <v>160</v>
      </c>
      <c r="C96" s="33" t="s">
        <v>23</v>
      </c>
      <c r="D96" s="29" t="s">
        <v>140</v>
      </c>
      <c r="E96" s="29" t="s">
        <v>63</v>
      </c>
      <c r="F96" s="30" t="n">
        <v>2184</v>
      </c>
      <c r="G96" s="29" t="s">
        <v>140</v>
      </c>
      <c r="H96" s="29" t="s">
        <v>141</v>
      </c>
      <c r="I96" s="29" t="s">
        <v>142</v>
      </c>
    </row>
    <row r="97" customFormat="false" ht="15" hidden="false" customHeight="true" outlineLevel="0" collapsed="false">
      <c r="B97" s="31" t="s">
        <v>162</v>
      </c>
      <c r="C97" s="34" t="s">
        <v>15</v>
      </c>
      <c r="D97" s="31" t="s">
        <v>96</v>
      </c>
      <c r="E97" s="31" t="s">
        <v>63</v>
      </c>
      <c r="F97" s="32" t="n">
        <v>9467</v>
      </c>
      <c r="G97" s="31" t="s">
        <v>96</v>
      </c>
      <c r="H97" s="31" t="s">
        <v>97</v>
      </c>
      <c r="I97" s="31" t="s">
        <v>98</v>
      </c>
    </row>
    <row r="98" customFormat="false" ht="15" hidden="false" customHeight="true" outlineLevel="0" collapsed="false">
      <c r="B98" s="29" t="s">
        <v>162</v>
      </c>
      <c r="C98" s="33" t="s">
        <v>15</v>
      </c>
      <c r="D98" s="29" t="s">
        <v>163</v>
      </c>
      <c r="E98" s="29" t="s">
        <v>63</v>
      </c>
      <c r="F98" s="30" t="n">
        <v>7032</v>
      </c>
      <c r="G98" s="29" t="s">
        <v>163</v>
      </c>
      <c r="H98" s="29" t="s">
        <v>164</v>
      </c>
      <c r="I98" s="29" t="s">
        <v>165</v>
      </c>
    </row>
    <row r="99" customFormat="false" ht="15" hidden="false" customHeight="true" outlineLevel="0" collapsed="false">
      <c r="B99" s="31" t="s">
        <v>162</v>
      </c>
      <c r="C99" s="34" t="s">
        <v>32</v>
      </c>
      <c r="D99" s="31" t="s">
        <v>137</v>
      </c>
      <c r="E99" s="31" t="s">
        <v>63</v>
      </c>
      <c r="F99" s="32" t="n">
        <v>21800</v>
      </c>
      <c r="G99" s="31" t="s">
        <v>137</v>
      </c>
      <c r="H99" s="31" t="s">
        <v>138</v>
      </c>
      <c r="I99" s="31" t="s">
        <v>139</v>
      </c>
    </row>
    <row r="100" customFormat="false" ht="15" hidden="false" customHeight="true" outlineLevel="0" collapsed="false">
      <c r="B100" s="29" t="s">
        <v>166</v>
      </c>
      <c r="C100" s="33" t="s">
        <v>28</v>
      </c>
      <c r="D100" s="29" t="s">
        <v>122</v>
      </c>
      <c r="E100" s="29" t="s">
        <v>63</v>
      </c>
      <c r="F100" s="30" t="n">
        <v>22642</v>
      </c>
      <c r="G100" s="29" t="s">
        <v>122</v>
      </c>
      <c r="H100" s="29" t="s">
        <v>123</v>
      </c>
      <c r="I100" s="29" t="s">
        <v>124</v>
      </c>
    </row>
    <row r="101" customFormat="false" ht="15" hidden="false" customHeight="true" outlineLevel="0" collapsed="false">
      <c r="B101" s="31" t="s">
        <v>166</v>
      </c>
      <c r="C101" s="34" t="s">
        <v>18</v>
      </c>
      <c r="D101" s="31" t="s">
        <v>93</v>
      </c>
      <c r="E101" s="31" t="s">
        <v>63</v>
      </c>
      <c r="F101" s="32" t="n">
        <v>27558</v>
      </c>
      <c r="G101" s="31" t="s">
        <v>93</v>
      </c>
      <c r="H101" s="31" t="s">
        <v>94</v>
      </c>
      <c r="I101" s="31" t="s">
        <v>95</v>
      </c>
    </row>
    <row r="102" customFormat="false" ht="15" hidden="false" customHeight="true" outlineLevel="0" collapsed="false">
      <c r="B102" s="29" t="s">
        <v>166</v>
      </c>
      <c r="C102" s="33" t="s">
        <v>18</v>
      </c>
      <c r="D102" s="29" t="s">
        <v>93</v>
      </c>
      <c r="E102" s="29" t="s">
        <v>63</v>
      </c>
      <c r="F102" s="30" t="n">
        <v>18587</v>
      </c>
      <c r="G102" s="29" t="s">
        <v>93</v>
      </c>
      <c r="H102" s="29" t="s">
        <v>94</v>
      </c>
      <c r="I102" s="29" t="s">
        <v>95</v>
      </c>
    </row>
    <row r="103" customFormat="false" ht="15" hidden="false" customHeight="true" outlineLevel="0" collapsed="false">
      <c r="B103" s="31" t="s">
        <v>166</v>
      </c>
      <c r="C103" s="34" t="s">
        <v>23</v>
      </c>
      <c r="D103" s="31" t="s">
        <v>140</v>
      </c>
      <c r="E103" s="31" t="s">
        <v>63</v>
      </c>
      <c r="F103" s="32" t="n">
        <v>1979</v>
      </c>
      <c r="G103" s="31" t="s">
        <v>140</v>
      </c>
      <c r="H103" s="31" t="s">
        <v>141</v>
      </c>
      <c r="I103" s="31" t="s">
        <v>142</v>
      </c>
    </row>
    <row r="104" customFormat="false" ht="15" hidden="false" customHeight="true" outlineLevel="0" collapsed="false">
      <c r="B104" s="29" t="s">
        <v>167</v>
      </c>
      <c r="C104" s="33" t="s">
        <v>28</v>
      </c>
      <c r="D104" s="29" t="s">
        <v>70</v>
      </c>
      <c r="E104" s="29" t="s">
        <v>67</v>
      </c>
      <c r="F104" s="30" t="n">
        <v>50000</v>
      </c>
      <c r="G104" s="29" t="s">
        <v>70</v>
      </c>
      <c r="H104" s="29" t="s">
        <v>71</v>
      </c>
      <c r="I104" s="29" t="s">
        <v>72</v>
      </c>
    </row>
    <row r="105" customFormat="false" ht="15" hidden="false" customHeight="true" outlineLevel="0" collapsed="false">
      <c r="B105" s="31" t="s">
        <v>167</v>
      </c>
      <c r="C105" s="34" t="s">
        <v>28</v>
      </c>
      <c r="D105" s="31" t="s">
        <v>70</v>
      </c>
      <c r="E105" s="31" t="s">
        <v>67</v>
      </c>
      <c r="F105" s="32" t="n">
        <v>60000</v>
      </c>
      <c r="G105" s="31" t="s">
        <v>70</v>
      </c>
      <c r="H105" s="31" t="s">
        <v>71</v>
      </c>
      <c r="I105" s="31" t="s">
        <v>72</v>
      </c>
    </row>
    <row r="106" customFormat="false" ht="15" hidden="false" customHeight="true" outlineLevel="0" collapsed="false">
      <c r="B106" s="29" t="s">
        <v>167</v>
      </c>
      <c r="C106" s="33" t="s">
        <v>18</v>
      </c>
      <c r="D106" s="29" t="s">
        <v>66</v>
      </c>
      <c r="E106" s="29" t="s">
        <v>67</v>
      </c>
      <c r="F106" s="30" t="n">
        <v>110000</v>
      </c>
      <c r="G106" s="29" t="s">
        <v>66</v>
      </c>
      <c r="H106" s="29" t="s">
        <v>68</v>
      </c>
      <c r="I106" s="29" t="s">
        <v>69</v>
      </c>
    </row>
    <row r="107" customFormat="false" ht="15" hidden="false" customHeight="true" outlineLevel="0" collapsed="false">
      <c r="B107" s="31" t="s">
        <v>167</v>
      </c>
      <c r="C107" s="34" t="s">
        <v>18</v>
      </c>
      <c r="D107" s="31" t="s">
        <v>93</v>
      </c>
      <c r="E107" s="31" t="s">
        <v>63</v>
      </c>
      <c r="F107" s="32" t="n">
        <v>15507</v>
      </c>
      <c r="G107" s="31" t="s">
        <v>93</v>
      </c>
      <c r="H107" s="31" t="s">
        <v>94</v>
      </c>
      <c r="I107" s="31" t="s">
        <v>95</v>
      </c>
    </row>
    <row r="108" customFormat="false" ht="15" hidden="false" customHeight="true" outlineLevel="0" collapsed="false">
      <c r="B108" s="29" t="s">
        <v>167</v>
      </c>
      <c r="C108" s="33" t="s">
        <v>21</v>
      </c>
      <c r="D108" s="29" t="s">
        <v>112</v>
      </c>
      <c r="E108" s="29" t="s">
        <v>63</v>
      </c>
      <c r="F108" s="30" t="n">
        <v>36849</v>
      </c>
      <c r="G108" s="29" t="s">
        <v>112</v>
      </c>
      <c r="H108" s="29" t="s">
        <v>113</v>
      </c>
      <c r="I108" s="29" t="s">
        <v>114</v>
      </c>
    </row>
    <row r="109" customFormat="false" ht="15" hidden="false" customHeight="true" outlineLevel="0" collapsed="false">
      <c r="B109" s="31" t="s">
        <v>167</v>
      </c>
      <c r="C109" s="34" t="s">
        <v>21</v>
      </c>
      <c r="D109" s="31" t="s">
        <v>112</v>
      </c>
      <c r="E109" s="31" t="s">
        <v>63</v>
      </c>
      <c r="F109" s="32" t="n">
        <v>32730</v>
      </c>
      <c r="G109" s="31" t="s">
        <v>112</v>
      </c>
      <c r="H109" s="31" t="s">
        <v>113</v>
      </c>
      <c r="I109" s="31" t="s">
        <v>114</v>
      </c>
    </row>
    <row r="110" customFormat="false" ht="15" hidden="false" customHeight="true" outlineLevel="0" collapsed="false">
      <c r="B110" s="29" t="s">
        <v>167</v>
      </c>
      <c r="C110" s="33" t="s">
        <v>15</v>
      </c>
      <c r="D110" s="29" t="s">
        <v>96</v>
      </c>
      <c r="E110" s="29" t="s">
        <v>63</v>
      </c>
      <c r="F110" s="30" t="n">
        <v>10581</v>
      </c>
      <c r="G110" s="29" t="s">
        <v>96</v>
      </c>
      <c r="H110" s="29" t="s">
        <v>97</v>
      </c>
      <c r="I110" s="29" t="s">
        <v>98</v>
      </c>
    </row>
    <row r="111" customFormat="false" ht="15" hidden="false" customHeight="true" outlineLevel="0" collapsed="false">
      <c r="B111" s="31" t="s">
        <v>167</v>
      </c>
      <c r="C111" s="34" t="s">
        <v>32</v>
      </c>
      <c r="D111" s="31" t="s">
        <v>99</v>
      </c>
      <c r="E111" s="31" t="s">
        <v>63</v>
      </c>
      <c r="F111" s="32" t="n">
        <v>14838</v>
      </c>
      <c r="G111" s="31" t="s">
        <v>99</v>
      </c>
      <c r="H111" s="31" t="s">
        <v>100</v>
      </c>
      <c r="I111" s="31" t="s">
        <v>101</v>
      </c>
    </row>
    <row r="112" customFormat="false" ht="15" hidden="false" customHeight="true" outlineLevel="0" collapsed="false">
      <c r="B112" s="29" t="s">
        <v>167</v>
      </c>
      <c r="C112" s="33" t="s">
        <v>30</v>
      </c>
      <c r="D112" s="29" t="s">
        <v>118</v>
      </c>
      <c r="E112" s="29" t="s">
        <v>63</v>
      </c>
      <c r="F112" s="30" t="n">
        <v>61209</v>
      </c>
      <c r="G112" s="29" t="s">
        <v>118</v>
      </c>
      <c r="H112" s="29" t="s">
        <v>161</v>
      </c>
      <c r="I112" s="29" t="s">
        <v>120</v>
      </c>
    </row>
    <row r="113" customFormat="false" ht="15" hidden="false" customHeight="true" outlineLevel="0" collapsed="false">
      <c r="B113" s="31" t="s">
        <v>168</v>
      </c>
      <c r="C113" s="34" t="s">
        <v>21</v>
      </c>
      <c r="D113" s="31" t="s">
        <v>66</v>
      </c>
      <c r="E113" s="31" t="s">
        <v>67</v>
      </c>
      <c r="F113" s="32" t="n">
        <v>68000</v>
      </c>
      <c r="G113" s="31" t="s">
        <v>66</v>
      </c>
      <c r="H113" s="31" t="s">
        <v>68</v>
      </c>
      <c r="I113" s="31" t="s">
        <v>69</v>
      </c>
    </row>
    <row r="114" customFormat="false" ht="15" hidden="false" customHeight="true" outlineLevel="0" collapsed="false">
      <c r="B114" s="29" t="s">
        <v>168</v>
      </c>
      <c r="C114" s="33" t="s">
        <v>21</v>
      </c>
      <c r="D114" s="29" t="s">
        <v>112</v>
      </c>
      <c r="E114" s="29" t="s">
        <v>63</v>
      </c>
      <c r="F114" s="30" t="n">
        <v>8796</v>
      </c>
      <c r="G114" s="29" t="s">
        <v>112</v>
      </c>
      <c r="H114" s="29" t="s">
        <v>113</v>
      </c>
      <c r="I114" s="29" t="s">
        <v>114</v>
      </c>
    </row>
    <row r="115" customFormat="false" ht="15" hidden="false" customHeight="true" outlineLevel="0" collapsed="false">
      <c r="B115" s="31" t="s">
        <v>168</v>
      </c>
      <c r="C115" s="34" t="s">
        <v>15</v>
      </c>
      <c r="D115" s="31" t="s">
        <v>70</v>
      </c>
      <c r="E115" s="31" t="s">
        <v>67</v>
      </c>
      <c r="F115" s="32" t="n">
        <v>95000</v>
      </c>
      <c r="G115" s="31" t="s">
        <v>70</v>
      </c>
      <c r="H115" s="31" t="s">
        <v>71</v>
      </c>
      <c r="I115" s="31" t="s">
        <v>72</v>
      </c>
    </row>
    <row r="116" customFormat="false" ht="15" hidden="false" customHeight="true" outlineLevel="0" collapsed="false">
      <c r="B116" s="29" t="s">
        <v>168</v>
      </c>
      <c r="C116" s="33" t="s">
        <v>15</v>
      </c>
      <c r="D116" s="29" t="s">
        <v>156</v>
      </c>
      <c r="E116" s="29" t="s">
        <v>63</v>
      </c>
      <c r="F116" s="30" t="n">
        <v>21655</v>
      </c>
      <c r="G116" s="29" t="s">
        <v>156</v>
      </c>
      <c r="H116" s="29" t="s">
        <v>157</v>
      </c>
      <c r="I116" s="29" t="s">
        <v>158</v>
      </c>
    </row>
    <row r="117" customFormat="false" ht="15" hidden="false" customHeight="true" outlineLevel="0" collapsed="false">
      <c r="B117" s="31" t="s">
        <v>168</v>
      </c>
      <c r="C117" s="34" t="s">
        <v>30</v>
      </c>
      <c r="D117" s="31" t="s">
        <v>66</v>
      </c>
      <c r="E117" s="31" t="s">
        <v>67</v>
      </c>
      <c r="F117" s="32" t="n">
        <v>320000</v>
      </c>
      <c r="G117" s="31" t="s">
        <v>66</v>
      </c>
      <c r="H117" s="31" t="s">
        <v>68</v>
      </c>
      <c r="I117" s="31" t="s">
        <v>69</v>
      </c>
    </row>
    <row r="118" customFormat="false" ht="15" hidden="false" customHeight="true" outlineLevel="0" collapsed="false">
      <c r="B118" s="29" t="s">
        <v>168</v>
      </c>
      <c r="C118" s="33" t="s">
        <v>23</v>
      </c>
      <c r="D118" s="29" t="s">
        <v>148</v>
      </c>
      <c r="E118" s="29" t="s">
        <v>63</v>
      </c>
      <c r="F118" s="30" t="n">
        <v>536</v>
      </c>
      <c r="G118" s="29" t="s">
        <v>148</v>
      </c>
      <c r="H118" s="29" t="s">
        <v>149</v>
      </c>
      <c r="I118" s="29" t="s">
        <v>150</v>
      </c>
    </row>
    <row r="119" customFormat="false" ht="15" hidden="false" customHeight="true" outlineLevel="0" collapsed="false">
      <c r="B119" s="31" t="s">
        <v>169</v>
      </c>
      <c r="C119" s="34" t="s">
        <v>18</v>
      </c>
      <c r="D119" s="31" t="s">
        <v>62</v>
      </c>
      <c r="E119" s="31" t="s">
        <v>63</v>
      </c>
      <c r="F119" s="32" t="n">
        <v>33216</v>
      </c>
      <c r="G119" s="31" t="s">
        <v>62</v>
      </c>
      <c r="H119" s="31" t="s">
        <v>64</v>
      </c>
      <c r="I119" s="31" t="s">
        <v>65</v>
      </c>
    </row>
    <row r="120" customFormat="false" ht="15" hidden="false" customHeight="true" outlineLevel="0" collapsed="false">
      <c r="B120" s="29" t="s">
        <v>169</v>
      </c>
      <c r="C120" s="33" t="s">
        <v>21</v>
      </c>
      <c r="D120" s="29" t="s">
        <v>134</v>
      </c>
      <c r="E120" s="29" t="s">
        <v>63</v>
      </c>
      <c r="F120" s="30" t="n">
        <v>22370</v>
      </c>
      <c r="G120" s="29" t="s">
        <v>134</v>
      </c>
      <c r="H120" s="29" t="s">
        <v>135</v>
      </c>
      <c r="I120" s="29" t="s">
        <v>120</v>
      </c>
    </row>
    <row r="121" customFormat="false" ht="15" hidden="false" customHeight="true" outlineLevel="0" collapsed="false">
      <c r="B121" s="31" t="s">
        <v>169</v>
      </c>
      <c r="C121" s="34" t="s">
        <v>30</v>
      </c>
      <c r="D121" s="31" t="s">
        <v>118</v>
      </c>
      <c r="E121" s="31" t="s">
        <v>63</v>
      </c>
      <c r="F121" s="32" t="n">
        <v>99543</v>
      </c>
      <c r="G121" s="31" t="s">
        <v>118</v>
      </c>
      <c r="H121" s="31" t="s">
        <v>161</v>
      </c>
      <c r="I121" s="31" t="s">
        <v>120</v>
      </c>
    </row>
    <row r="122" customFormat="false" ht="15" hidden="false" customHeight="true" outlineLevel="0" collapsed="false">
      <c r="B122" s="29" t="s">
        <v>170</v>
      </c>
      <c r="C122" s="33" t="s">
        <v>18</v>
      </c>
      <c r="D122" s="29" t="s">
        <v>134</v>
      </c>
      <c r="E122" s="29" t="s">
        <v>63</v>
      </c>
      <c r="F122" s="30" t="n">
        <v>41271</v>
      </c>
      <c r="G122" s="29" t="s">
        <v>134</v>
      </c>
      <c r="H122" s="29" t="s">
        <v>154</v>
      </c>
      <c r="I122" s="29" t="s">
        <v>120</v>
      </c>
    </row>
    <row r="123" customFormat="false" ht="15" hidden="false" customHeight="true" outlineLevel="0" collapsed="false">
      <c r="B123" s="31" t="s">
        <v>170</v>
      </c>
      <c r="C123" s="34" t="s">
        <v>21</v>
      </c>
      <c r="D123" s="31" t="s">
        <v>134</v>
      </c>
      <c r="E123" s="31" t="s">
        <v>63</v>
      </c>
      <c r="F123" s="32" t="n">
        <v>31148</v>
      </c>
      <c r="G123" s="31" t="s">
        <v>134</v>
      </c>
      <c r="H123" s="31" t="s">
        <v>135</v>
      </c>
      <c r="I123" s="31" t="s">
        <v>120</v>
      </c>
    </row>
    <row r="124" customFormat="false" ht="15" hidden="false" customHeight="true" outlineLevel="0" collapsed="false">
      <c r="B124" s="29" t="s">
        <v>170</v>
      </c>
      <c r="C124" s="33" t="s">
        <v>32</v>
      </c>
      <c r="D124" s="29" t="s">
        <v>137</v>
      </c>
      <c r="E124" s="29" t="s">
        <v>63</v>
      </c>
      <c r="F124" s="30" t="n">
        <v>24325</v>
      </c>
      <c r="G124" s="29" t="s">
        <v>137</v>
      </c>
      <c r="H124" s="29" t="s">
        <v>138</v>
      </c>
      <c r="I124" s="29" t="s">
        <v>139</v>
      </c>
    </row>
    <row r="125" customFormat="false" ht="15" hidden="false" customHeight="true" outlineLevel="0" collapsed="false">
      <c r="B125" s="31" t="s">
        <v>170</v>
      </c>
      <c r="C125" s="34" t="s">
        <v>30</v>
      </c>
      <c r="D125" s="31" t="s">
        <v>66</v>
      </c>
      <c r="E125" s="31" t="s">
        <v>67</v>
      </c>
      <c r="F125" s="32" t="n">
        <v>280000</v>
      </c>
      <c r="G125" s="31" t="s">
        <v>66</v>
      </c>
      <c r="H125" s="31" t="s">
        <v>68</v>
      </c>
      <c r="I125" s="31" t="s">
        <v>69</v>
      </c>
    </row>
    <row r="126" customFormat="false" ht="15" hidden="false" customHeight="true" outlineLevel="0" collapsed="false">
      <c r="B126" s="29" t="s">
        <v>171</v>
      </c>
      <c r="C126" s="33" t="s">
        <v>18</v>
      </c>
      <c r="D126" s="29" t="s">
        <v>134</v>
      </c>
      <c r="E126" s="29" t="s">
        <v>63</v>
      </c>
      <c r="F126" s="30" t="n">
        <v>44256</v>
      </c>
      <c r="G126" s="29" t="s">
        <v>134</v>
      </c>
      <c r="H126" s="29" t="s">
        <v>154</v>
      </c>
      <c r="I126" s="29" t="s">
        <v>120</v>
      </c>
    </row>
    <row r="127" customFormat="false" ht="15" hidden="false" customHeight="true" outlineLevel="0" collapsed="false">
      <c r="B127" s="31" t="s">
        <v>171</v>
      </c>
      <c r="C127" s="34" t="s">
        <v>21</v>
      </c>
      <c r="D127" s="31" t="s">
        <v>112</v>
      </c>
      <c r="E127" s="31" t="s">
        <v>63</v>
      </c>
      <c r="F127" s="32" t="n">
        <v>13241</v>
      </c>
      <c r="G127" s="31" t="s">
        <v>112</v>
      </c>
      <c r="H127" s="31" t="s">
        <v>113</v>
      </c>
      <c r="I127" s="31" t="s">
        <v>114</v>
      </c>
    </row>
    <row r="128" customFormat="false" ht="15" hidden="false" customHeight="true" outlineLevel="0" collapsed="false">
      <c r="B128" s="29" t="s">
        <v>171</v>
      </c>
      <c r="C128" s="33" t="s">
        <v>15</v>
      </c>
      <c r="D128" s="29" t="s">
        <v>70</v>
      </c>
      <c r="E128" s="29" t="s">
        <v>67</v>
      </c>
      <c r="F128" s="30" t="n">
        <v>115000</v>
      </c>
      <c r="G128" s="29" t="s">
        <v>70</v>
      </c>
      <c r="H128" s="29" t="s">
        <v>71</v>
      </c>
      <c r="I128" s="29" t="s">
        <v>72</v>
      </c>
    </row>
    <row r="129" customFormat="false" ht="15" hidden="false" customHeight="true" outlineLevel="0" collapsed="false">
      <c r="B129" s="31" t="s">
        <v>171</v>
      </c>
      <c r="C129" s="34" t="s">
        <v>15</v>
      </c>
      <c r="D129" s="31" t="s">
        <v>172</v>
      </c>
      <c r="E129" s="31" t="s">
        <v>63</v>
      </c>
      <c r="F129" s="32" t="n">
        <v>20750</v>
      </c>
      <c r="G129" s="31" t="s">
        <v>172</v>
      </c>
      <c r="H129" s="31" t="s">
        <v>173</v>
      </c>
      <c r="I129" s="31" t="s">
        <v>174</v>
      </c>
    </row>
    <row r="130" customFormat="false" ht="15" hidden="false" customHeight="true" outlineLevel="0" collapsed="false">
      <c r="B130" s="29" t="s">
        <v>171</v>
      </c>
      <c r="C130" s="33" t="s">
        <v>32</v>
      </c>
      <c r="D130" s="29" t="s">
        <v>102</v>
      </c>
      <c r="E130" s="29" t="s">
        <v>63</v>
      </c>
      <c r="F130" s="30" t="n">
        <v>39164</v>
      </c>
      <c r="G130" s="29" t="s">
        <v>102</v>
      </c>
      <c r="H130" s="29" t="s">
        <v>103</v>
      </c>
      <c r="I130" s="29" t="s">
        <v>104</v>
      </c>
    </row>
    <row r="131" customFormat="false" ht="15" hidden="false" customHeight="true" outlineLevel="0" collapsed="false">
      <c r="B131" s="31" t="s">
        <v>171</v>
      </c>
      <c r="C131" s="34" t="s">
        <v>32</v>
      </c>
      <c r="D131" s="31" t="s">
        <v>99</v>
      </c>
      <c r="E131" s="31" t="s">
        <v>63</v>
      </c>
      <c r="F131" s="32" t="n">
        <v>40846</v>
      </c>
      <c r="G131" s="31" t="s">
        <v>99</v>
      </c>
      <c r="H131" s="31" t="s">
        <v>100</v>
      </c>
      <c r="I131" s="31" t="s">
        <v>101</v>
      </c>
    </row>
    <row r="132" customFormat="false" ht="15" hidden="false" customHeight="true" outlineLevel="0" collapsed="false">
      <c r="B132" s="29" t="s">
        <v>171</v>
      </c>
      <c r="C132" s="33" t="s">
        <v>32</v>
      </c>
      <c r="D132" s="29" t="s">
        <v>102</v>
      </c>
      <c r="E132" s="29" t="s">
        <v>63</v>
      </c>
      <c r="F132" s="30" t="n">
        <v>26971</v>
      </c>
      <c r="G132" s="29" t="s">
        <v>102</v>
      </c>
      <c r="H132" s="29" t="s">
        <v>103</v>
      </c>
      <c r="I132" s="29" t="s">
        <v>104</v>
      </c>
    </row>
    <row r="133" customFormat="false" ht="15" hidden="false" customHeight="true" outlineLevel="0" collapsed="false">
      <c r="B133" s="31" t="s">
        <v>171</v>
      </c>
      <c r="C133" s="34" t="s">
        <v>30</v>
      </c>
      <c r="D133" s="31" t="s">
        <v>118</v>
      </c>
      <c r="E133" s="31" t="s">
        <v>63</v>
      </c>
      <c r="F133" s="32" t="n">
        <v>52962</v>
      </c>
      <c r="G133" s="31" t="s">
        <v>118</v>
      </c>
      <c r="H133" s="31" t="s">
        <v>161</v>
      </c>
      <c r="I133" s="31" t="s">
        <v>120</v>
      </c>
    </row>
    <row r="134" customFormat="false" ht="15" hidden="false" customHeight="true" outlineLevel="0" collapsed="false">
      <c r="B134" s="29" t="s">
        <v>171</v>
      </c>
      <c r="C134" s="33" t="s">
        <v>30</v>
      </c>
      <c r="D134" s="29" t="s">
        <v>118</v>
      </c>
      <c r="E134" s="29" t="s">
        <v>63</v>
      </c>
      <c r="F134" s="30" t="n">
        <v>56491</v>
      </c>
      <c r="G134" s="29" t="s">
        <v>118</v>
      </c>
      <c r="H134" s="29" t="s">
        <v>119</v>
      </c>
      <c r="I134" s="29" t="s">
        <v>120</v>
      </c>
    </row>
    <row r="135" customFormat="false" ht="15" hidden="false" customHeight="true" outlineLevel="0" collapsed="false">
      <c r="B135" s="31" t="s">
        <v>171</v>
      </c>
      <c r="C135" s="34" t="s">
        <v>23</v>
      </c>
      <c r="D135" s="31" t="s">
        <v>105</v>
      </c>
      <c r="E135" s="31" t="s">
        <v>63</v>
      </c>
      <c r="F135" s="32" t="n">
        <v>3988</v>
      </c>
      <c r="G135" s="31" t="s">
        <v>105</v>
      </c>
      <c r="H135" s="31" t="s">
        <v>106</v>
      </c>
      <c r="I135" s="31" t="s">
        <v>107</v>
      </c>
    </row>
    <row r="136" customFormat="false" ht="15" hidden="false" customHeight="true" outlineLevel="0" collapsed="false">
      <c r="B136" s="29" t="s">
        <v>175</v>
      </c>
      <c r="C136" s="33" t="s">
        <v>18</v>
      </c>
      <c r="D136" s="29" t="s">
        <v>66</v>
      </c>
      <c r="E136" s="29" t="s">
        <v>67</v>
      </c>
      <c r="F136" s="30" t="n">
        <v>80000</v>
      </c>
      <c r="G136" s="29" t="s">
        <v>66</v>
      </c>
      <c r="H136" s="29" t="s">
        <v>68</v>
      </c>
      <c r="I136" s="29" t="s">
        <v>69</v>
      </c>
    </row>
    <row r="137" customFormat="false" ht="15" hidden="false" customHeight="true" outlineLevel="0" collapsed="false">
      <c r="B137" s="31" t="s">
        <v>175</v>
      </c>
      <c r="C137" s="34" t="s">
        <v>21</v>
      </c>
      <c r="D137" s="31" t="s">
        <v>66</v>
      </c>
      <c r="E137" s="31" t="s">
        <v>67</v>
      </c>
      <c r="F137" s="32" t="n">
        <v>55000</v>
      </c>
      <c r="G137" s="31" t="s">
        <v>66</v>
      </c>
      <c r="H137" s="31" t="s">
        <v>68</v>
      </c>
      <c r="I137" s="31" t="s">
        <v>69</v>
      </c>
    </row>
    <row r="138" customFormat="false" ht="15" hidden="false" customHeight="true" outlineLevel="0" collapsed="false">
      <c r="B138" s="29" t="s">
        <v>175</v>
      </c>
      <c r="C138" s="33" t="s">
        <v>15</v>
      </c>
      <c r="D138" s="29" t="s">
        <v>128</v>
      </c>
      <c r="E138" s="29" t="s">
        <v>63</v>
      </c>
      <c r="F138" s="30" t="n">
        <v>24460</v>
      </c>
      <c r="G138" s="29" t="s">
        <v>128</v>
      </c>
      <c r="H138" s="29" t="s">
        <v>129</v>
      </c>
      <c r="I138" s="29" t="s">
        <v>130</v>
      </c>
    </row>
    <row r="139" customFormat="false" ht="15" hidden="false" customHeight="true" outlineLevel="0" collapsed="false">
      <c r="B139" s="31" t="s">
        <v>175</v>
      </c>
      <c r="C139" s="34" t="s">
        <v>15</v>
      </c>
      <c r="D139" s="31" t="s">
        <v>96</v>
      </c>
      <c r="E139" s="31" t="s">
        <v>63</v>
      </c>
      <c r="F139" s="32" t="n">
        <v>11345</v>
      </c>
      <c r="G139" s="31" t="s">
        <v>96</v>
      </c>
      <c r="H139" s="31" t="s">
        <v>97</v>
      </c>
      <c r="I139" s="31" t="s">
        <v>98</v>
      </c>
    </row>
    <row r="140" customFormat="false" ht="15" hidden="false" customHeight="true" outlineLevel="0" collapsed="false">
      <c r="B140" s="29" t="s">
        <v>175</v>
      </c>
      <c r="C140" s="33" t="s">
        <v>30</v>
      </c>
      <c r="D140" s="29" t="s">
        <v>66</v>
      </c>
      <c r="E140" s="29" t="s">
        <v>67</v>
      </c>
      <c r="F140" s="30" t="n">
        <v>250000</v>
      </c>
      <c r="G140" s="29" t="s">
        <v>66</v>
      </c>
      <c r="H140" s="29" t="s">
        <v>68</v>
      </c>
      <c r="I140" s="29" t="s">
        <v>69</v>
      </c>
    </row>
    <row r="141" customFormat="false" ht="15" hidden="false" customHeight="true" outlineLevel="0" collapsed="false">
      <c r="B141" s="31" t="s">
        <v>176</v>
      </c>
      <c r="C141" s="34" t="s">
        <v>28</v>
      </c>
      <c r="D141" s="31" t="s">
        <v>74</v>
      </c>
      <c r="E141" s="31" t="s">
        <v>63</v>
      </c>
      <c r="F141" s="32" t="n">
        <v>5416</v>
      </c>
      <c r="G141" s="31" t="s">
        <v>74</v>
      </c>
      <c r="H141" s="31" t="s">
        <v>75</v>
      </c>
      <c r="I141" s="31" t="s">
        <v>76</v>
      </c>
    </row>
    <row r="142" customFormat="false" ht="15" hidden="false" customHeight="true" outlineLevel="0" collapsed="false">
      <c r="B142" s="29" t="s">
        <v>176</v>
      </c>
      <c r="C142" s="33" t="s">
        <v>21</v>
      </c>
      <c r="D142" s="29" t="s">
        <v>112</v>
      </c>
      <c r="E142" s="29" t="s">
        <v>63</v>
      </c>
      <c r="F142" s="30" t="n">
        <v>10161</v>
      </c>
      <c r="G142" s="29" t="s">
        <v>112</v>
      </c>
      <c r="H142" s="29" t="s">
        <v>113</v>
      </c>
      <c r="I142" s="29" t="s">
        <v>114</v>
      </c>
    </row>
    <row r="143" customFormat="false" ht="15" hidden="false" customHeight="true" outlineLevel="0" collapsed="false">
      <c r="B143" s="31" t="s">
        <v>176</v>
      </c>
      <c r="C143" s="34" t="s">
        <v>15</v>
      </c>
      <c r="D143" s="31" t="s">
        <v>128</v>
      </c>
      <c r="E143" s="31" t="s">
        <v>63</v>
      </c>
      <c r="F143" s="32" t="n">
        <v>20161</v>
      </c>
      <c r="G143" s="31" t="s">
        <v>128</v>
      </c>
      <c r="H143" s="31" t="s">
        <v>129</v>
      </c>
      <c r="I143" s="31" t="s">
        <v>130</v>
      </c>
    </row>
    <row r="144" customFormat="false" ht="15" hidden="false" customHeight="true" outlineLevel="0" collapsed="false">
      <c r="B144" s="29" t="s">
        <v>176</v>
      </c>
      <c r="C144" s="33" t="s">
        <v>32</v>
      </c>
      <c r="D144" s="29" t="s">
        <v>102</v>
      </c>
      <c r="E144" s="29" t="s">
        <v>63</v>
      </c>
      <c r="F144" s="30" t="n">
        <v>12064</v>
      </c>
      <c r="G144" s="29" t="s">
        <v>102</v>
      </c>
      <c r="H144" s="29" t="s">
        <v>103</v>
      </c>
      <c r="I144" s="29" t="s">
        <v>104</v>
      </c>
    </row>
    <row r="145" customFormat="false" ht="15" hidden="false" customHeight="true" outlineLevel="0" collapsed="false">
      <c r="B145" s="31" t="s">
        <v>176</v>
      </c>
      <c r="C145" s="34" t="s">
        <v>23</v>
      </c>
      <c r="D145" s="31" t="s">
        <v>148</v>
      </c>
      <c r="E145" s="31" t="s">
        <v>63</v>
      </c>
      <c r="F145" s="32" t="n">
        <v>2658</v>
      </c>
      <c r="G145" s="31" t="s">
        <v>148</v>
      </c>
      <c r="H145" s="31" t="s">
        <v>149</v>
      </c>
      <c r="I145" s="31" t="s">
        <v>150</v>
      </c>
    </row>
  </sheetData>
  <mergeCells count="2">
    <mergeCell ref="B2:I2"/>
    <mergeCell ref="B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6" min="3" style="1" width="16"/>
    <col collapsed="false" customWidth="true" hidden="false" outlineLevel="0" max="7" min="7" style="1" width="14"/>
    <col collapsed="false" customWidth="true" hidden="false" outlineLevel="0" max="8" min="8" style="1" width="28"/>
  </cols>
  <sheetData>
    <row r="2" customFormat="false" ht="30" hidden="false" customHeight="true" outlineLevel="0" collapsed="false">
      <c r="B2" s="2" t="s">
        <v>177</v>
      </c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B3" s="3" t="s">
        <v>178</v>
      </c>
      <c r="C3" s="3"/>
      <c r="D3" s="3"/>
      <c r="E3" s="3"/>
      <c r="F3" s="3"/>
      <c r="G3" s="3"/>
      <c r="H3" s="3"/>
    </row>
    <row r="5" customFormat="false" ht="27.75" hidden="false" customHeight="true" outlineLevel="0" collapsed="false">
      <c r="B5" s="10" t="s">
        <v>179</v>
      </c>
      <c r="C5" s="10" t="s">
        <v>180</v>
      </c>
      <c r="D5" s="10" t="s">
        <v>181</v>
      </c>
      <c r="E5" s="10" t="s">
        <v>182</v>
      </c>
      <c r="F5" s="10" t="s">
        <v>183</v>
      </c>
      <c r="G5" s="10" t="s">
        <v>184</v>
      </c>
      <c r="H5" s="10" t="s">
        <v>45</v>
      </c>
      <c r="I5" s="10" t="s">
        <v>185</v>
      </c>
    </row>
    <row r="6" customFormat="false" ht="15" hidden="false" customHeight="true" outlineLevel="0" collapsed="false">
      <c r="B6" s="12" t="s">
        <v>186</v>
      </c>
      <c r="C6" s="35" t="n">
        <v>4285420</v>
      </c>
      <c r="D6" s="35" t="n">
        <v>4325120</v>
      </c>
      <c r="E6" s="35" t="n">
        <v>45200</v>
      </c>
      <c r="F6" s="35" t="n">
        <v>5500</v>
      </c>
      <c r="G6" s="36" t="n">
        <f aca="false">(C6+E6-F6)-D6</f>
        <v>0</v>
      </c>
      <c r="H6" s="37" t="s">
        <v>187</v>
      </c>
      <c r="I6" s="12" t="s">
        <v>188</v>
      </c>
    </row>
    <row r="7" customFormat="false" ht="15" hidden="false" customHeight="true" outlineLevel="0" collapsed="false">
      <c r="B7" s="18" t="s">
        <v>189</v>
      </c>
      <c r="C7" s="38" t="n">
        <v>4512880</v>
      </c>
      <c r="D7" s="38" t="n">
        <v>4548650</v>
      </c>
      <c r="E7" s="38" t="n">
        <v>38770</v>
      </c>
      <c r="F7" s="38" t="n">
        <v>3000</v>
      </c>
      <c r="G7" s="39" t="n">
        <f aca="false">(C7+E7-F7)-D7</f>
        <v>0</v>
      </c>
      <c r="H7" s="40" t="s">
        <v>187</v>
      </c>
      <c r="I7" s="18" t="s">
        <v>190</v>
      </c>
    </row>
    <row r="8" customFormat="false" ht="15" hidden="false" customHeight="true" outlineLevel="0" collapsed="false">
      <c r="B8" s="12" t="s">
        <v>191</v>
      </c>
      <c r="C8" s="35" t="n">
        <v>4728105</v>
      </c>
      <c r="D8" s="35" t="n">
        <v>4765890</v>
      </c>
      <c r="E8" s="35" t="n">
        <v>42785</v>
      </c>
      <c r="F8" s="35" t="n">
        <v>5000</v>
      </c>
      <c r="G8" s="36" t="n">
        <f aca="false">(C8+E8-F8)-D8</f>
        <v>0</v>
      </c>
      <c r="H8" s="37" t="s">
        <v>187</v>
      </c>
      <c r="I8" s="12" t="s">
        <v>192</v>
      </c>
    </row>
    <row r="9" customFormat="false" ht="15" hidden="false" customHeight="true" outlineLevel="0" collapsed="false">
      <c r="B9" s="18" t="s">
        <v>193</v>
      </c>
      <c r="C9" s="38" t="n">
        <v>4950220</v>
      </c>
      <c r="D9" s="38" t="n">
        <v>4982940</v>
      </c>
      <c r="E9" s="38" t="n">
        <v>35720</v>
      </c>
      <c r="F9" s="38" t="n">
        <v>3000</v>
      </c>
      <c r="G9" s="39" t="n">
        <f aca="false">(C9+E9-F9)-D9</f>
        <v>0</v>
      </c>
      <c r="H9" s="40" t="s">
        <v>187</v>
      </c>
      <c r="I9" s="18" t="s">
        <v>194</v>
      </c>
    </row>
    <row r="10" customFormat="false" ht="15" hidden="false" customHeight="true" outlineLevel="0" collapsed="false">
      <c r="B10" s="12" t="s">
        <v>195</v>
      </c>
      <c r="C10" s="35" t="n">
        <v>5120885</v>
      </c>
      <c r="D10" s="35" t="n">
        <v>5168335</v>
      </c>
      <c r="E10" s="35" t="n">
        <v>49450</v>
      </c>
      <c r="F10" s="35" t="n">
        <v>2000</v>
      </c>
      <c r="G10" s="36" t="n">
        <f aca="false">(C10+E10-F10)-D10</f>
        <v>0</v>
      </c>
      <c r="H10" s="37" t="s">
        <v>187</v>
      </c>
      <c r="I10" s="12" t="s">
        <v>196</v>
      </c>
    </row>
    <row r="11" customFormat="false" ht="15" hidden="false" customHeight="true" outlineLevel="0" collapsed="false">
      <c r="B11" s="18" t="s">
        <v>197</v>
      </c>
      <c r="C11" s="38" t="n">
        <v>5315440</v>
      </c>
      <c r="D11" s="38" t="n">
        <v>5360740</v>
      </c>
      <c r="E11" s="38" t="n">
        <v>48300</v>
      </c>
      <c r="F11" s="38" t="n">
        <v>3000</v>
      </c>
      <c r="G11" s="39" t="n">
        <f aca="false">(C11+E11-F11)-D11</f>
        <v>0</v>
      </c>
      <c r="H11" s="40" t="s">
        <v>187</v>
      </c>
      <c r="I11" s="18" t="s">
        <v>198</v>
      </c>
    </row>
    <row r="12" customFormat="false" ht="15" hidden="false" customHeight="true" outlineLevel="0" collapsed="false">
      <c r="B12" s="12" t="s">
        <v>199</v>
      </c>
      <c r="C12" s="35" t="n">
        <v>5498220</v>
      </c>
      <c r="D12" s="35" t="n">
        <v>5541610</v>
      </c>
      <c r="E12" s="35" t="n">
        <v>46390</v>
      </c>
      <c r="F12" s="35" t="n">
        <v>3000</v>
      </c>
      <c r="G12" s="36" t="n">
        <f aca="false">(C12+E12-F12)-D12</f>
        <v>0</v>
      </c>
      <c r="H12" s="37" t="s">
        <v>187</v>
      </c>
      <c r="I12" s="12" t="s">
        <v>200</v>
      </c>
    </row>
    <row r="13" customFormat="false" ht="15" hidden="false" customHeight="true" outlineLevel="0" collapsed="false">
      <c r="B13" s="18" t="s">
        <v>201</v>
      </c>
      <c r="C13" s="38" t="n">
        <v>5680150</v>
      </c>
      <c r="D13" s="38" t="n">
        <v>5719450</v>
      </c>
      <c r="E13" s="38" t="n">
        <v>42300</v>
      </c>
      <c r="F13" s="38" t="n">
        <v>3000</v>
      </c>
      <c r="G13" s="39" t="n">
        <f aca="false">(C13+E13-F13)-D13</f>
        <v>0</v>
      </c>
      <c r="H13" s="40" t="s">
        <v>187</v>
      </c>
      <c r="I13" s="18" t="s">
        <v>202</v>
      </c>
    </row>
    <row r="14" customFormat="false" ht="15" hidden="false" customHeight="true" outlineLevel="0" collapsed="false">
      <c r="B14" s="12" t="s">
        <v>203</v>
      </c>
      <c r="C14" s="35" t="n">
        <v>5845910</v>
      </c>
      <c r="D14" s="35" t="n">
        <v>5883560</v>
      </c>
      <c r="E14" s="35" t="n">
        <v>40650</v>
      </c>
      <c r="F14" s="35" t="n">
        <v>3000</v>
      </c>
      <c r="G14" s="36" t="n">
        <f aca="false">(C14+E14-F14)-D14</f>
        <v>0</v>
      </c>
      <c r="H14" s="37" t="s">
        <v>187</v>
      </c>
      <c r="I14" s="12" t="s">
        <v>204</v>
      </c>
    </row>
    <row r="15" customFormat="false" ht="15" hidden="false" customHeight="true" outlineLevel="0" collapsed="false">
      <c r="B15" s="18" t="s">
        <v>205</v>
      </c>
      <c r="C15" s="38" t="n">
        <v>5990280</v>
      </c>
      <c r="D15" s="38" t="n">
        <v>6026430</v>
      </c>
      <c r="E15" s="38" t="n">
        <v>39150</v>
      </c>
      <c r="F15" s="38" t="n">
        <v>3000</v>
      </c>
      <c r="G15" s="39" t="n">
        <f aca="false">(C15+E15-F15)-D15</f>
        <v>0</v>
      </c>
      <c r="H15" s="40" t="s">
        <v>187</v>
      </c>
      <c r="I15" s="18" t="s">
        <v>206</v>
      </c>
    </row>
    <row r="16" customFormat="false" ht="15" hidden="false" customHeight="true" outlineLevel="0" collapsed="false">
      <c r="B16" s="12" t="s">
        <v>207</v>
      </c>
      <c r="C16" s="35" t="n">
        <v>6120450</v>
      </c>
      <c r="D16" s="35" t="n">
        <v>6157260</v>
      </c>
      <c r="E16" s="35" t="n">
        <v>39810</v>
      </c>
      <c r="F16" s="35" t="n">
        <v>3000</v>
      </c>
      <c r="G16" s="36" t="n">
        <f aca="false">(C16+E16-F16)-D16</f>
        <v>0</v>
      </c>
      <c r="H16" s="37" t="s">
        <v>187</v>
      </c>
      <c r="I16" s="12" t="s">
        <v>208</v>
      </c>
    </row>
    <row r="17" customFormat="false" ht="15" hidden="false" customHeight="true" outlineLevel="0" collapsed="false">
      <c r="B17" s="18" t="s">
        <v>209</v>
      </c>
      <c r="C17" s="38" t="n">
        <v>6288920</v>
      </c>
      <c r="D17" s="38" t="n">
        <v>6328290</v>
      </c>
      <c r="E17" s="38" t="n">
        <v>42370</v>
      </c>
      <c r="F17" s="38" t="n">
        <v>3000</v>
      </c>
      <c r="G17" s="39" t="n">
        <f aca="false">(C17+E17-F17)-D17</f>
        <v>0</v>
      </c>
      <c r="H17" s="40" t="s">
        <v>187</v>
      </c>
      <c r="I17" s="18" t="s">
        <v>210</v>
      </c>
    </row>
    <row r="18" customFormat="false" ht="15" hidden="false" customHeight="true" outlineLevel="0" collapsed="false">
      <c r="B18" s="41" t="s">
        <v>34</v>
      </c>
      <c r="C18" s="25" t="n">
        <f aca="false">SUM(C6:C17)</f>
        <v>64336880</v>
      </c>
      <c r="D18" s="25" t="n">
        <f aca="false">SUM(D6:D17)</f>
        <v>64808275</v>
      </c>
      <c r="E18" s="25" t="n">
        <f aca="false">SUM(E6:E17)</f>
        <v>510895</v>
      </c>
      <c r="F18" s="25" t="n">
        <f aca="false">SUM(F6:F17)</f>
        <v>39500</v>
      </c>
      <c r="G18" s="42" t="n">
        <f aca="false">(C18+E18-F18)-D18</f>
        <v>0</v>
      </c>
      <c r="H18" s="43"/>
      <c r="I18" s="43"/>
    </row>
    <row r="20" customFormat="false" ht="15" hidden="false" customHeight="true" outlineLevel="0" collapsed="false">
      <c r="B20" s="44" t="s">
        <v>211</v>
      </c>
    </row>
    <row r="21" customFormat="false" ht="15" hidden="false" customHeight="true" outlineLevel="0" collapsed="false">
      <c r="B21" s="28" t="s">
        <v>212</v>
      </c>
      <c r="C21" s="28"/>
      <c r="D21" s="28"/>
      <c r="E21" s="28"/>
      <c r="F21" s="28"/>
      <c r="G21" s="28"/>
      <c r="H21" s="28"/>
    </row>
    <row r="22" customFormat="false" ht="15" hidden="false" customHeight="true" outlineLevel="0" collapsed="false">
      <c r="B22" s="28" t="s">
        <v>213</v>
      </c>
      <c r="C22" s="28"/>
      <c r="D22" s="28"/>
      <c r="E22" s="28"/>
      <c r="F22" s="28"/>
      <c r="G22" s="28"/>
      <c r="H22" s="28"/>
    </row>
    <row r="23" customFormat="false" ht="15" hidden="false" customHeight="true" outlineLevel="0" collapsed="false">
      <c r="B23" s="28" t="s">
        <v>214</v>
      </c>
      <c r="C23" s="28"/>
      <c r="D23" s="28"/>
      <c r="E23" s="28"/>
      <c r="F23" s="28"/>
      <c r="G23" s="28"/>
      <c r="H23" s="28"/>
    </row>
    <row r="24" customFormat="false" ht="15" hidden="false" customHeight="true" outlineLevel="0" collapsed="false">
      <c r="B24" s="28" t="s">
        <v>215</v>
      </c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B25" s="28" t="s">
        <v>216</v>
      </c>
      <c r="C25" s="28"/>
      <c r="D25" s="28"/>
      <c r="E25" s="28"/>
      <c r="F25" s="28"/>
      <c r="G25" s="28"/>
      <c r="H25" s="28"/>
    </row>
  </sheetData>
  <mergeCells count="7">
    <mergeCell ref="B2:H2"/>
    <mergeCell ref="B3:H3"/>
    <mergeCell ref="B21:H21"/>
    <mergeCell ref="B22:H22"/>
    <mergeCell ref="B23:H23"/>
    <mergeCell ref="B24:H24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6" min="3" style="1" width="16"/>
    <col collapsed="false" customWidth="true" hidden="false" outlineLevel="0" max="7" min="7" style="1" width="2"/>
    <col collapsed="false" customWidth="true" hidden="false" outlineLevel="0" max="8" min="8" style="1" width="26"/>
    <col collapsed="false" customWidth="true" hidden="false" outlineLevel="0" max="10" min="9" style="1" width="16"/>
  </cols>
  <sheetData>
    <row r="2" customFormat="false" ht="30" hidden="false" customHeight="true" outlineLevel="0" collapsed="false">
      <c r="B2" s="2" t="s">
        <v>217</v>
      </c>
      <c r="C2" s="2"/>
      <c r="D2" s="2"/>
      <c r="E2" s="2"/>
      <c r="F2" s="2"/>
      <c r="G2" s="2"/>
      <c r="H2" s="2"/>
      <c r="I2" s="2"/>
      <c r="J2" s="2"/>
    </row>
    <row r="3" customFormat="false" ht="15" hidden="false" customHeight="true" outlineLevel="0" collapsed="false">
      <c r="B3" s="3" t="s">
        <v>218</v>
      </c>
      <c r="C3" s="3"/>
      <c r="D3" s="3"/>
      <c r="E3" s="3"/>
      <c r="F3" s="3"/>
      <c r="G3" s="3"/>
      <c r="H3" s="3"/>
      <c r="I3" s="3"/>
      <c r="J3" s="3"/>
    </row>
    <row r="5" customFormat="false" ht="15" hidden="false" customHeight="true" outlineLevel="0" collapsed="false">
      <c r="B5" s="45" t="s">
        <v>219</v>
      </c>
      <c r="C5" s="45"/>
      <c r="D5" s="45"/>
      <c r="E5" s="45"/>
      <c r="F5" s="45"/>
      <c r="H5" s="45" t="s">
        <v>220</v>
      </c>
      <c r="I5" s="45"/>
      <c r="J5" s="45"/>
    </row>
    <row r="6" customFormat="false" ht="27.75" hidden="false" customHeight="true" outlineLevel="0" collapsed="false">
      <c r="B6" s="10" t="s">
        <v>221</v>
      </c>
      <c r="C6" s="10" t="s">
        <v>222</v>
      </c>
      <c r="D6" s="10" t="s">
        <v>223</v>
      </c>
      <c r="E6" s="10" t="s">
        <v>44</v>
      </c>
      <c r="F6" s="10" t="s">
        <v>224</v>
      </c>
      <c r="H6" s="10" t="s">
        <v>9</v>
      </c>
      <c r="I6" s="10" t="s">
        <v>222</v>
      </c>
      <c r="J6" s="10" t="s">
        <v>223</v>
      </c>
    </row>
    <row r="7" customFormat="false" ht="15" hidden="false" customHeight="true" outlineLevel="0" collapsed="false">
      <c r="B7" s="29" t="s">
        <v>225</v>
      </c>
      <c r="C7" s="46" t="n">
        <f aca="false">SUMIFS(Transactions!F:F,Transactions!C:C,"GF-001",Transactions!E:E,"Outflow")</f>
        <v>315548</v>
      </c>
      <c r="D7" s="47" t="n">
        <f aca="false">IFERROR(C7/$C$15,0)</f>
        <v>0.12863506951352</v>
      </c>
      <c r="E7" s="46" t="n">
        <v>1250000</v>
      </c>
      <c r="F7" s="48" t="n">
        <f aca="false">E7-C7</f>
        <v>934452</v>
      </c>
      <c r="H7" s="29" t="s">
        <v>17</v>
      </c>
      <c r="I7" s="46" t="n">
        <f aca="false">SUMIFS(Transactions!F:F,Transactions!C:C,"GF-001",Transactions!E:E,"Outflow")+SUMIFS(Transactions!F:F,Transactions!C:C,"TR-101",Transactions!E:E,"Outflow")+SUMIFS(Transactions!F:F,Transactions!C:C,"CM-440",Transactions!E:E,"Outflow")+SUMIFS(Transactions!F:F,Transactions!C:C,"OP-220",Transactions!E:E,"Outflow")</f>
        <v>812844</v>
      </c>
      <c r="J7" s="47" t="n">
        <f aca="false">IFERROR(I7/$I$10,0)</f>
        <v>0.331360821312914</v>
      </c>
    </row>
    <row r="8" customFormat="false" ht="15" hidden="false" customHeight="true" outlineLevel="0" collapsed="false">
      <c r="B8" s="31" t="s">
        <v>226</v>
      </c>
      <c r="C8" s="49" t="n">
        <f aca="false">SUMIFS(Transactions!F:F,Transactions!C:C,"FG-204",Transactions!E:E,"Outflow")</f>
        <v>368229</v>
      </c>
      <c r="D8" s="50" t="n">
        <f aca="false">IFERROR(C8/$C$15,0)</f>
        <v>0.150110800930108</v>
      </c>
      <c r="E8" s="49" t="n">
        <v>850000</v>
      </c>
      <c r="F8" s="51" t="n">
        <f aca="false">E8-C8</f>
        <v>481771</v>
      </c>
      <c r="H8" s="31" t="s">
        <v>20</v>
      </c>
      <c r="I8" s="49" t="n">
        <f aca="false">SUMIFS(Transactions!F:F,Transactions!C:C,"FG-204",Transactions!E:E,"Outflow")+SUMIFS(Transactions!F:F,Transactions!C:C,"FG-315",Transactions!E:E,"Outflow")+SUMIFS(Transactions!F:F,Transactions!C:C,"SG-112",Transactions!E:E,"Outflow")</f>
        <v>1543401</v>
      </c>
      <c r="J8" s="50" t="n">
        <f aca="false">IFERROR(I8/$I$10,0)</f>
        <v>0.629176844480825</v>
      </c>
    </row>
    <row r="9" customFormat="false" ht="15" hidden="false" customHeight="true" outlineLevel="0" collapsed="false">
      <c r="B9" s="29" t="s">
        <v>227</v>
      </c>
      <c r="C9" s="46" t="n">
        <f aca="false">SUMIFS(Transactions!F:F,Transactions!C:C,"FG-315",Transactions!E:E,"Outflow")</f>
        <v>275434</v>
      </c>
      <c r="D9" s="47" t="n">
        <f aca="false">IFERROR(C9/$C$15,0)</f>
        <v>0.11228235240403</v>
      </c>
      <c r="E9" s="46" t="n">
        <v>620000</v>
      </c>
      <c r="F9" s="48" t="n">
        <f aca="false">E9-C9</f>
        <v>344566</v>
      </c>
      <c r="H9" s="29" t="s">
        <v>27</v>
      </c>
      <c r="I9" s="46" t="n">
        <f aca="false">SUMIFS(Transactions!F:F,Transactions!C:C,"EV-050",Transactions!E:E,"Outflow")</f>
        <v>96803</v>
      </c>
      <c r="J9" s="47" t="n">
        <f aca="false">IFERROR(I9/$I$10,0)</f>
        <v>0.039462334206261</v>
      </c>
    </row>
    <row r="10" customFormat="false" ht="15" hidden="false" customHeight="true" outlineLevel="0" collapsed="false">
      <c r="B10" s="31" t="s">
        <v>228</v>
      </c>
      <c r="C10" s="49" t="n">
        <f aca="false">SUMIFS(Transactions!F:F,Transactions!C:C,"TR-101",Transactions!E:E,"Outflow")</f>
        <v>36476</v>
      </c>
      <c r="D10" s="50" t="n">
        <f aca="false">IFERROR(C10/$C$15,0)</f>
        <v>0.0148696641892046</v>
      </c>
      <c r="E10" s="49" t="n">
        <v>185000</v>
      </c>
      <c r="F10" s="51" t="n">
        <f aca="false">E10-C10</f>
        <v>148524</v>
      </c>
      <c r="H10" s="41" t="s">
        <v>34</v>
      </c>
      <c r="I10" s="25" t="n">
        <f aca="false">SUM(I7:I9)</f>
        <v>2453048</v>
      </c>
      <c r="J10" s="26" t="n">
        <f aca="false">SUM(J7:J9)</f>
        <v>1</v>
      </c>
    </row>
    <row r="11" customFormat="false" ht="15" hidden="false" customHeight="true" outlineLevel="0" collapsed="false">
      <c r="B11" s="29" t="s">
        <v>229</v>
      </c>
      <c r="C11" s="46" t="n">
        <f aca="false">SUMIFS(Transactions!F:F,Transactions!C:C,"EV-050",Transactions!E:E,"Outflow")</f>
        <v>96803</v>
      </c>
      <c r="D11" s="47" t="n">
        <f aca="false">IFERROR(C11/$C$15,0)</f>
        <v>0.039462334206261</v>
      </c>
      <c r="E11" s="46" t="n">
        <v>60000</v>
      </c>
      <c r="F11" s="48" t="n">
        <f aca="false">E11-C11</f>
        <v>-36803</v>
      </c>
    </row>
    <row r="12" customFormat="false" ht="15" hidden="false" customHeight="true" outlineLevel="0" collapsed="false">
      <c r="B12" s="31" t="s">
        <v>230</v>
      </c>
      <c r="C12" s="49" t="n">
        <f aca="false">SUMIFS(Transactions!F:F,Transactions!C:C,"CM-440",Transactions!E:E,"Outflow")</f>
        <v>132688</v>
      </c>
      <c r="D12" s="50" t="n">
        <f aca="false">IFERROR(C12/$C$15,0)</f>
        <v>0.0540910736357381</v>
      </c>
      <c r="E12" s="49" t="n">
        <v>425000</v>
      </c>
      <c r="F12" s="51" t="n">
        <f aca="false">E12-C12</f>
        <v>292312</v>
      </c>
    </row>
    <row r="13" customFormat="false" ht="15" hidden="false" customHeight="true" outlineLevel="0" collapsed="false">
      <c r="B13" s="29" t="s">
        <v>231</v>
      </c>
      <c r="C13" s="46" t="n">
        <f aca="false">SUMIFS(Transactions!F:F,Transactions!C:C,"SG-112",Transactions!E:E,"Outflow")</f>
        <v>899738</v>
      </c>
      <c r="D13" s="47" t="n">
        <f aca="false">IFERROR(C13/$C$15,0)</f>
        <v>0.366783691146688</v>
      </c>
      <c r="E13" s="46" t="n">
        <v>1150000</v>
      </c>
      <c r="F13" s="48" t="n">
        <f aca="false">E13-C13</f>
        <v>250262</v>
      </c>
    </row>
    <row r="14" customFormat="false" ht="15" hidden="false" customHeight="true" outlineLevel="0" collapsed="false">
      <c r="B14" s="31" t="s">
        <v>232</v>
      </c>
      <c r="C14" s="49" t="n">
        <f aca="false">SUMIFS(Transactions!F:F,Transactions!C:C,"OP-220",Transactions!E:E,"Outflow")</f>
        <v>328132</v>
      </c>
      <c r="D14" s="50" t="n">
        <f aca="false">IFERROR(C14/$C$15,0)</f>
        <v>0.133765013974451</v>
      </c>
      <c r="E14" s="49" t="n">
        <v>980000</v>
      </c>
      <c r="F14" s="51" t="n">
        <f aca="false">E14-C14</f>
        <v>651868</v>
      </c>
    </row>
    <row r="15" customFormat="false" ht="15" hidden="false" customHeight="true" outlineLevel="0" collapsed="false">
      <c r="B15" s="41" t="s">
        <v>34</v>
      </c>
      <c r="C15" s="25" t="n">
        <f aca="false">SUM(C7:C14)</f>
        <v>2453048</v>
      </c>
      <c r="D15" s="26" t="n">
        <f aca="false">SUM(D7:D14)</f>
        <v>1</v>
      </c>
      <c r="E15" s="25" t="n">
        <f aca="false">SUM(E7:E14)</f>
        <v>5520000</v>
      </c>
      <c r="F15" s="25" t="n">
        <f aca="false">SUM(F7:F14)</f>
        <v>3066952</v>
      </c>
    </row>
  </sheetData>
  <mergeCells count="4">
    <mergeCell ref="B2:J2"/>
    <mergeCell ref="B3:J3"/>
    <mergeCell ref="B5:F5"/>
    <mergeCell ref="H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221</v>
      </c>
      <c r="B1" s="1" t="s">
        <v>233</v>
      </c>
      <c r="C1" s="1" t="s">
        <v>222</v>
      </c>
      <c r="E1" s="1" t="s">
        <v>179</v>
      </c>
      <c r="F1" s="1" t="s">
        <v>233</v>
      </c>
      <c r="G1" s="1" t="s">
        <v>222</v>
      </c>
      <c r="H1" s="1" t="s">
        <v>234</v>
      </c>
    </row>
    <row r="2" customFormat="false" ht="15" hidden="false" customHeight="false" outlineLevel="0" collapsed="false">
      <c r="A2" s="1" t="s">
        <v>15</v>
      </c>
      <c r="B2" s="52" t="n">
        <f aca="false">SUMIFS(Transactions!F:F,Transactions!C:C,"GF-001",Transactions!E:E,"Inflow")</f>
        <v>668000</v>
      </c>
      <c r="C2" s="52" t="n">
        <f aca="false">SUMIFS(Transactions!F:F,Transactions!C:C,"GF-001",Transactions!E:E,"Outflow")</f>
        <v>315548</v>
      </c>
      <c r="E2" s="1" t="s">
        <v>235</v>
      </c>
      <c r="F2" s="52" t="n">
        <f aca="false">SUMPRODUCT((LEFT(Transactions!B6:B200,2)="01")*(Transactions!E6:E200="Inflow")*Transactions!F6:F200)</f>
        <v>590000</v>
      </c>
      <c r="G2" s="52" t="n">
        <f aca="false">SUMPRODUCT((LEFT(Transactions!B6:B200,2)="01")*(Transactions!E6:E200="Outflow")*Transactions!F6:F200)</f>
        <v>83148</v>
      </c>
      <c r="H2" s="53" t="n">
        <f aca="false">F2-G2</f>
        <v>506852</v>
      </c>
    </row>
    <row r="3" customFormat="false" ht="15" hidden="false" customHeight="false" outlineLevel="0" collapsed="false">
      <c r="A3" s="1" t="s">
        <v>18</v>
      </c>
      <c r="B3" s="52" t="n">
        <f aca="false">SUMIFS(Transactions!F:F,Transactions!C:C,"FG-204",Transactions!E:E,"Inflow")</f>
        <v>370000</v>
      </c>
      <c r="C3" s="52" t="n">
        <f aca="false">SUMIFS(Transactions!F:F,Transactions!C:C,"FG-204",Transactions!E:E,"Outflow")</f>
        <v>368229</v>
      </c>
      <c r="E3" s="1" t="s">
        <v>236</v>
      </c>
      <c r="F3" s="52" t="n">
        <f aca="false">SUMPRODUCT((LEFT(Transactions!B6:B200,2)="02")*(Transactions!E6:E200="Inflow")*Transactions!F6:F200)</f>
        <v>122000</v>
      </c>
      <c r="G3" s="52" t="n">
        <f aca="false">SUMPRODUCT((LEFT(Transactions!B6:B200,2)="02")*(Transactions!E6:E200="Outflow")*Transactions!F6:F200)</f>
        <v>263697</v>
      </c>
      <c r="H3" s="53" t="n">
        <f aca="false">F3-G3</f>
        <v>-141697</v>
      </c>
    </row>
    <row r="4" customFormat="false" ht="15" hidden="false" customHeight="false" outlineLevel="0" collapsed="false">
      <c r="A4" s="1" t="s">
        <v>21</v>
      </c>
      <c r="B4" s="52" t="n">
        <f aca="false">SUMIFS(Transactions!F:F,Transactions!C:C,"FG-315",Transactions!E:E,"Inflow")</f>
        <v>260000</v>
      </c>
      <c r="C4" s="52" t="n">
        <f aca="false">SUMIFS(Transactions!F:F,Transactions!C:C,"FG-315",Transactions!E:E,"Outflow")</f>
        <v>275434</v>
      </c>
      <c r="E4" s="1" t="s">
        <v>237</v>
      </c>
      <c r="F4" s="52" t="n">
        <f aca="false">SUMPRODUCT((LEFT(Transactions!B6:B200,2)="03")*(Transactions!E6:E200="Inflow")*Transactions!F6:F200)</f>
        <v>280000</v>
      </c>
      <c r="G4" s="52" t="n">
        <f aca="false">SUMPRODUCT((LEFT(Transactions!B6:B200,2)="03")*(Transactions!E6:E200="Outflow")*Transactions!F6:F200)</f>
        <v>333053</v>
      </c>
      <c r="H4" s="53" t="n">
        <f aca="false">F4-G4</f>
        <v>-53053</v>
      </c>
    </row>
    <row r="5" customFormat="false" ht="15" hidden="false" customHeight="false" outlineLevel="0" collapsed="false">
      <c r="A5" s="1" t="s">
        <v>23</v>
      </c>
      <c r="B5" s="52" t="n">
        <f aca="false">SUMIFS(Transactions!F:F,Transactions!C:C,"TR-101",Transactions!E:E,"Inflow")</f>
        <v>115000</v>
      </c>
      <c r="C5" s="52" t="n">
        <f aca="false">SUMIFS(Transactions!F:F,Transactions!C:C,"TR-101",Transactions!E:E,"Outflow")</f>
        <v>36476</v>
      </c>
      <c r="E5" s="1" t="s">
        <v>238</v>
      </c>
      <c r="F5" s="52" t="n">
        <f aca="false">SUMPRODUCT((LEFT(Transactions!B6:B200,2)="04")*(Transactions!E6:E200="Inflow")*Transactions!F6:F200)</f>
        <v>372000</v>
      </c>
      <c r="G5" s="52" t="n">
        <f aca="false">SUMPRODUCT((LEFT(Transactions!B6:B200,2)="04")*(Transactions!E6:E200="Outflow")*Transactions!F6:F200)</f>
        <v>465443</v>
      </c>
      <c r="H5" s="53" t="n">
        <f aca="false">F5-G5</f>
        <v>-93443</v>
      </c>
    </row>
    <row r="6" customFormat="false" ht="15" hidden="false" customHeight="false" outlineLevel="0" collapsed="false">
      <c r="A6" s="1" t="s">
        <v>25</v>
      </c>
      <c r="B6" s="52" t="n">
        <f aca="false">SUMIFS(Transactions!F:F,Transactions!C:C,"EV-050",Transactions!E:E,"Inflow")</f>
        <v>67000</v>
      </c>
      <c r="C6" s="52" t="n">
        <f aca="false">SUMIFS(Transactions!F:F,Transactions!C:C,"EV-050",Transactions!E:E,"Outflow")</f>
        <v>96803</v>
      </c>
      <c r="E6" s="1" t="s">
        <v>239</v>
      </c>
      <c r="F6" s="52" t="n">
        <f aca="false">SUMPRODUCT((LEFT(Transactions!B6:B200,2)="05")*(Transactions!E6:E200="Inflow")*Transactions!F6:F200)</f>
        <v>213000</v>
      </c>
      <c r="G6" s="52" t="n">
        <f aca="false">SUMPRODUCT((LEFT(Transactions!B6:B200,2)="05")*(Transactions!E6:E200="Outflow")*Transactions!F6:F200)</f>
        <v>245411</v>
      </c>
      <c r="H6" s="53" t="n">
        <f aca="false">F6-G6</f>
        <v>-32411</v>
      </c>
    </row>
    <row r="7" customFormat="false" ht="15" hidden="false" customHeight="false" outlineLevel="0" collapsed="false">
      <c r="A7" s="1" t="s">
        <v>28</v>
      </c>
      <c r="B7" s="52" t="n">
        <f aca="false">SUMIFS(Transactions!F:F,Transactions!C:C,"CM-440",Transactions!E:E,"Inflow")</f>
        <v>195000</v>
      </c>
      <c r="C7" s="52" t="n">
        <f aca="false">SUMIFS(Transactions!F:F,Transactions!C:C,"CM-440",Transactions!E:E,"Outflow")</f>
        <v>132688</v>
      </c>
      <c r="E7" s="1" t="s">
        <v>240</v>
      </c>
      <c r="F7" s="52" t="n">
        <f aca="false">SUMPRODUCT((LEFT(Transactions!B6:B200,2)="06")*(Transactions!E6:E200="Inflow")*Transactions!F6:F200)</f>
        <v>310000</v>
      </c>
      <c r="G7" s="52" t="n">
        <f aca="false">SUMPRODUCT((LEFT(Transactions!B6:B200,2)="06")*(Transactions!E6:E200="Outflow")*Transactions!F6:F200)</f>
        <v>113723</v>
      </c>
      <c r="H7" s="53" t="n">
        <f aca="false">F7-G7</f>
        <v>196277</v>
      </c>
    </row>
    <row r="8" customFormat="false" ht="15" hidden="false" customHeight="false" outlineLevel="0" collapsed="false">
      <c r="A8" s="1" t="s">
        <v>30</v>
      </c>
      <c r="B8" s="52" t="n">
        <f aca="false">SUMIFS(Transactions!F:F,Transactions!C:C,"SG-112",Transactions!E:E,"Inflow")</f>
        <v>1140000</v>
      </c>
      <c r="C8" s="52" t="n">
        <f aca="false">SUMIFS(Transactions!F:F,Transactions!C:C,"SG-112",Transactions!E:E,"Outflow")</f>
        <v>899738</v>
      </c>
      <c r="E8" s="1" t="s">
        <v>241</v>
      </c>
      <c r="F8" s="52" t="n">
        <f aca="false">SUMPRODUCT((LEFT(Transactions!B6:B200,2)="07")*(Transactions!E6:E200="Inflow")*Transactions!F6:F200)</f>
        <v>0</v>
      </c>
      <c r="G8" s="52" t="n">
        <f aca="false">SUMPRODUCT((LEFT(Transactions!B6:B200,2)="07")*(Transactions!E6:E200="Outflow")*Transactions!F6:F200)</f>
        <v>109065</v>
      </c>
      <c r="H8" s="53" t="n">
        <f aca="false">F8-G8</f>
        <v>-109065</v>
      </c>
    </row>
    <row r="9" customFormat="false" ht="15" hidden="false" customHeight="false" outlineLevel="0" collapsed="false">
      <c r="A9" s="1" t="s">
        <v>32</v>
      </c>
      <c r="B9" s="52" t="n">
        <f aca="false">SUMIFS(Transactions!F:F,Transactions!C:C,"OP-220",Transactions!E:E,"Inflow")</f>
        <v>555000</v>
      </c>
      <c r="C9" s="52" t="n">
        <f aca="false">SUMIFS(Transactions!F:F,Transactions!C:C,"OP-220",Transactions!E:E,"Outflow")</f>
        <v>328132</v>
      </c>
      <c r="E9" s="1" t="s">
        <v>242</v>
      </c>
      <c r="F9" s="52" t="n">
        <f aca="false">SUMPRODUCT((LEFT(Transactions!B6:B200,2)="08")*(Transactions!E6:E200="Inflow")*Transactions!F6:F200)</f>
        <v>703000</v>
      </c>
      <c r="G9" s="52" t="n">
        <f aca="false">SUMPRODUCT((LEFT(Transactions!B6:B200,2)="08")*(Transactions!E6:E200="Outflow")*Transactions!F6:F200)</f>
        <v>357830</v>
      </c>
      <c r="H9" s="53" t="n">
        <f aca="false">F9-G9</f>
        <v>345170</v>
      </c>
    </row>
    <row r="10" customFormat="false" ht="15" hidden="false" customHeight="false" outlineLevel="0" collapsed="false">
      <c r="E10" s="1" t="s">
        <v>243</v>
      </c>
      <c r="F10" s="52" t="n">
        <f aca="false">SUMPRODUCT((LEFT(Transactions!B6:B200,2)="09")*(Transactions!E6:E200="Inflow")*Transactions!F6:F200)</f>
        <v>395000</v>
      </c>
      <c r="G10" s="52" t="n">
        <f aca="false">SUMPRODUCT((LEFT(Transactions!B6:B200,2)="09")*(Transactions!E6:E200="Outflow")*Transactions!F6:F200)</f>
        <v>395413</v>
      </c>
      <c r="H10" s="53" t="n">
        <f aca="false">F10-G10</f>
        <v>-413</v>
      </c>
    </row>
    <row r="11" customFormat="false" ht="15" hidden="false" customHeight="false" outlineLevel="0" collapsed="false">
      <c r="E11" s="1" t="s">
        <v>244</v>
      </c>
      <c r="F11" s="52" t="n">
        <f aca="false">SUMPRODUCT((LEFT(Transactions!B6:B200,2)="10")*(Transactions!E6:E200="Inflow")*Transactions!F6:F200)</f>
        <v>385000</v>
      </c>
      <c r="G11" s="52" t="n">
        <f aca="false">SUMPRODUCT((LEFT(Transactions!B6:B200,2)="10")*(Transactions!E6:E200="Outflow")*Transactions!F6:F200)</f>
        <v>86265</v>
      </c>
      <c r="H11" s="53" t="n">
        <f aca="false">F11-G11</f>
        <v>298735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P8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1" min="1" style="0" width="11"/>
  </cols>
  <sheetData>
    <row r="2" customFormat="false" ht="39.75" hidden="false" customHeight="true" outlineLevel="0" collapsed="false">
      <c r="B2" s="54" t="s">
        <v>245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</row>
    <row r="3" customFormat="false" ht="19.5" hidden="false" customHeight="true" outlineLevel="0" collapsed="false">
      <c r="B3" s="55" t="s">
        <v>246</v>
      </c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</row>
    <row r="4" customFormat="false" ht="3" hidden="false" customHeight="true" outlineLevel="0" collapsed="false"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</row>
    <row r="6" customFormat="false" ht="21.75" hidden="false" customHeight="true" outlineLevel="0" collapsed="false">
      <c r="B6" s="57" t="s">
        <v>247</v>
      </c>
      <c r="C6" s="57"/>
      <c r="D6" s="57"/>
      <c r="E6" s="57"/>
      <c r="F6" s="57"/>
      <c r="G6" s="57"/>
      <c r="H6" s="57"/>
      <c r="I6" s="57"/>
      <c r="J6" s="57"/>
      <c r="K6" s="57"/>
      <c r="L6" s="57"/>
      <c r="M6" s="57"/>
      <c r="N6" s="57"/>
      <c r="O6" s="57"/>
      <c r="P6" s="57"/>
    </row>
    <row r="7" customFormat="false" ht="15" hidden="false" customHeight="false" outlineLevel="0" collapsed="false">
      <c r="B7" s="58" t="s">
        <v>248</v>
      </c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</row>
    <row r="32" customFormat="false" ht="21.75" hidden="false" customHeight="true" outlineLevel="0" collapsed="false">
      <c r="B32" s="57" t="s">
        <v>249</v>
      </c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</row>
    <row r="33" customFormat="false" ht="15" hidden="false" customHeight="false" outlineLevel="0" collapsed="false">
      <c r="B33" s="58" t="s">
        <v>250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</row>
    <row r="58" customFormat="false" ht="21.75" hidden="false" customHeight="true" outlineLevel="0" collapsed="false">
      <c r="B58" s="57" t="s">
        <v>251</v>
      </c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</row>
    <row r="59" customFormat="false" ht="15" hidden="false" customHeight="false" outlineLevel="0" collapsed="false">
      <c r="B59" s="58" t="s">
        <v>252</v>
      </c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</row>
    <row r="83" customFormat="false" ht="21.75" hidden="false" customHeight="true" outlineLevel="0" collapsed="false">
      <c r="B83" s="59" t="s">
        <v>253</v>
      </c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</row>
    <row r="84" customFormat="false" ht="15" hidden="false" customHeight="false" outlineLevel="0" collapsed="false">
      <c r="B84" s="60" t="s">
        <v>254</v>
      </c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</row>
    <row r="85" customFormat="false" ht="15" hidden="false" customHeight="false" outlineLevel="0" collapsed="false">
      <c r="B85" s="60" t="s">
        <v>255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</row>
    <row r="86" customFormat="false" ht="15" hidden="false" customHeight="false" outlineLevel="0" collapsed="false">
      <c r="B86" s="60" t="s">
        <v>256</v>
      </c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</row>
    <row r="87" customFormat="false" ht="15" hidden="false" customHeight="false" outlineLevel="0" collapsed="false">
      <c r="B87" s="60" t="s">
        <v>257</v>
      </c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</row>
  </sheetData>
  <mergeCells count="13">
    <mergeCell ref="B2:P2"/>
    <mergeCell ref="B3:P3"/>
    <mergeCell ref="B6:P6"/>
    <mergeCell ref="B7:P7"/>
    <mergeCell ref="B32:P32"/>
    <mergeCell ref="B33:P33"/>
    <mergeCell ref="B58:P58"/>
    <mergeCell ref="B59:P59"/>
    <mergeCell ref="B83:P83"/>
    <mergeCell ref="B84:P84"/>
    <mergeCell ref="B85:P85"/>
    <mergeCell ref="B86:P86"/>
    <mergeCell ref="B87:P87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2026-04-18T18:09:29Z</dcterms:created>
  <dc:creator>openpyxl</dc:creator>
  <dc:description/>
  <dc:language>en-US</dc:language>
  <cp:lastModifiedBy/>
  <dcterms:modified xsi:type="dcterms:W3CDTF">2026-04-18T18:27:12Z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