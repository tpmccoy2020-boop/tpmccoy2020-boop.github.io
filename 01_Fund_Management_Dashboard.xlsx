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0b72152c7ea30035/Desktop/Portfolio Project/"/>
    </mc:Choice>
  </mc:AlternateContent>
  <xr:revisionPtr revIDLastSave="8" documentId="8_{24FFEE3C-A136-4019-B4FA-7993F9F66178}" xr6:coauthVersionLast="47" xr6:coauthVersionMax="47" xr10:uidLastSave="{156088F3-2AC7-4596-B09A-F16B83F8DC52}"/>
  <bookViews>
    <workbookView xWindow="-120" yWindow="-120" windowWidth="29040" windowHeight="15720" tabRatio="500" activeTab="6" xr2:uid="{00000000-000D-0000-FFFF-FFFF00000000}"/>
  </bookViews>
  <sheets>
    <sheet name="Dashboard" sheetId="1" r:id="rId1"/>
    <sheet name="Fund Register" sheetId="2" r:id="rId2"/>
    <sheet name="Transactions" sheetId="3" r:id="rId3"/>
    <sheet name="Reconciliation" sheetId="4" r:id="rId4"/>
    <sheet name="Pivot Summary" sheetId="5" r:id="rId5"/>
    <sheet name="_ChartData" sheetId="6" state="hidden" r:id="rId6"/>
    <sheet name="Chart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3" i="6" l="1"/>
  <c r="J13" i="6"/>
  <c r="I13" i="6"/>
  <c r="K13" i="6" s="1"/>
  <c r="M12" i="6"/>
  <c r="J12" i="6"/>
  <c r="I12" i="6"/>
  <c r="K12" i="6" s="1"/>
  <c r="M11" i="6"/>
  <c r="J11" i="6"/>
  <c r="I11" i="6"/>
  <c r="K11" i="6" s="1"/>
  <c r="M10" i="6"/>
  <c r="J10" i="6"/>
  <c r="I10" i="6"/>
  <c r="K10" i="6" s="1"/>
  <c r="M9" i="6"/>
  <c r="J9" i="6"/>
  <c r="I9" i="6"/>
  <c r="K9" i="6" s="1"/>
  <c r="B9" i="6"/>
  <c r="M8" i="6"/>
  <c r="J8" i="6"/>
  <c r="I8" i="6"/>
  <c r="K8" i="6" s="1"/>
  <c r="M7" i="6"/>
  <c r="J7" i="6"/>
  <c r="I7" i="6"/>
  <c r="K7" i="6" s="1"/>
  <c r="M6" i="6"/>
  <c r="J6" i="6"/>
  <c r="I6" i="6"/>
  <c r="K6" i="6" s="1"/>
  <c r="B6" i="6"/>
  <c r="M5" i="6"/>
  <c r="K5" i="6"/>
  <c r="J5" i="6"/>
  <c r="I5" i="6"/>
  <c r="N4" i="6"/>
  <c r="M4" i="6"/>
  <c r="J4" i="6"/>
  <c r="I4" i="6"/>
  <c r="K4" i="6" s="1"/>
  <c r="M3" i="6"/>
  <c r="J3" i="6"/>
  <c r="I3" i="6"/>
  <c r="K3" i="6" s="1"/>
  <c r="N2" i="6"/>
  <c r="M2" i="6"/>
  <c r="J2" i="6"/>
  <c r="I2" i="6"/>
  <c r="K2" i="6" s="1"/>
  <c r="E13" i="5"/>
  <c r="F12" i="5"/>
  <c r="C12" i="5"/>
  <c r="C11" i="5"/>
  <c r="F11" i="5" s="1"/>
  <c r="C10" i="5"/>
  <c r="F10" i="5" s="1"/>
  <c r="F9" i="5"/>
  <c r="C9" i="5"/>
  <c r="F8" i="5"/>
  <c r="C8" i="5"/>
  <c r="I7" i="5"/>
  <c r="F4" i="6" s="1"/>
  <c r="F7" i="5"/>
  <c r="C7" i="5"/>
  <c r="D7" i="5" s="1"/>
  <c r="I6" i="5"/>
  <c r="F3" i="6" s="1"/>
  <c r="C6" i="5"/>
  <c r="F6" i="5" s="1"/>
  <c r="I5" i="5"/>
  <c r="F2" i="6" s="1"/>
  <c r="C5" i="5"/>
  <c r="C13" i="5" s="1"/>
  <c r="F17" i="4"/>
  <c r="E17" i="4"/>
  <c r="D17" i="4"/>
  <c r="C17" i="4"/>
  <c r="G16" i="4"/>
  <c r="N13" i="6" s="1"/>
  <c r="H15" i="4"/>
  <c r="G15" i="4"/>
  <c r="N12" i="6" s="1"/>
  <c r="H14" i="4"/>
  <c r="G14" i="4"/>
  <c r="N11" i="6" s="1"/>
  <c r="G13" i="4"/>
  <c r="H13" i="4" s="1"/>
  <c r="G12" i="4"/>
  <c r="N9" i="6" s="1"/>
  <c r="H11" i="4"/>
  <c r="G11" i="4"/>
  <c r="N8" i="6" s="1"/>
  <c r="H10" i="4"/>
  <c r="G10" i="4"/>
  <c r="N7" i="6" s="1"/>
  <c r="G9" i="4"/>
  <c r="N6" i="6" s="1"/>
  <c r="G8" i="4"/>
  <c r="N5" i="6" s="1"/>
  <c r="H7" i="4"/>
  <c r="G7" i="4"/>
  <c r="H6" i="4"/>
  <c r="G6" i="4"/>
  <c r="I6" i="1" s="1"/>
  <c r="G5" i="4"/>
  <c r="G17" i="4" s="1"/>
  <c r="F144" i="3"/>
  <c r="E20" i="1"/>
  <c r="H19" i="1"/>
  <c r="G19" i="1"/>
  <c r="C9" i="6" s="1"/>
  <c r="F19" i="1"/>
  <c r="J18" i="1"/>
  <c r="I18" i="1"/>
  <c r="G18" i="1"/>
  <c r="C8" i="6" s="1"/>
  <c r="F18" i="1"/>
  <c r="B8" i="6" s="1"/>
  <c r="G17" i="1"/>
  <c r="I17" i="1" s="1"/>
  <c r="J17" i="1" s="1"/>
  <c r="F17" i="1"/>
  <c r="B7" i="6" s="1"/>
  <c r="G16" i="1"/>
  <c r="I16" i="1" s="1"/>
  <c r="J16" i="1" s="1"/>
  <c r="F16" i="1"/>
  <c r="H16" i="1" s="1"/>
  <c r="I15" i="1"/>
  <c r="J15" i="1" s="1"/>
  <c r="H15" i="1"/>
  <c r="G15" i="1"/>
  <c r="C5" i="6" s="1"/>
  <c r="F15" i="1"/>
  <c r="B5" i="6" s="1"/>
  <c r="I14" i="1"/>
  <c r="J14" i="1" s="1"/>
  <c r="G14" i="1"/>
  <c r="C4" i="6" s="1"/>
  <c r="F14" i="1"/>
  <c r="H14" i="1" s="1"/>
  <c r="G13" i="1"/>
  <c r="I13" i="1" s="1"/>
  <c r="J13" i="1" s="1"/>
  <c r="F13" i="1"/>
  <c r="F20" i="1" s="1"/>
  <c r="G12" i="1"/>
  <c r="I12" i="1" s="1"/>
  <c r="J12" i="1" s="1"/>
  <c r="F12" i="1"/>
  <c r="B2" i="6" s="1"/>
  <c r="B6" i="1"/>
  <c r="D8" i="5" l="1"/>
  <c r="D6" i="5"/>
  <c r="D12" i="5"/>
  <c r="D9" i="5"/>
  <c r="D5" i="5"/>
  <c r="F13" i="5"/>
  <c r="N10" i="6"/>
  <c r="G20" i="1"/>
  <c r="C7" i="6"/>
  <c r="I19" i="1"/>
  <c r="J19" i="1" s="1"/>
  <c r="H8" i="4"/>
  <c r="H12" i="4"/>
  <c r="H16" i="4"/>
  <c r="F5" i="5"/>
  <c r="I8" i="5"/>
  <c r="D11" i="5"/>
  <c r="B3" i="6"/>
  <c r="B4" i="6"/>
  <c r="C6" i="6"/>
  <c r="H12" i="1"/>
  <c r="N3" i="6"/>
  <c r="C2" i="6"/>
  <c r="C3" i="6"/>
  <c r="H13" i="1"/>
  <c r="H18" i="1"/>
  <c r="H5" i="4"/>
  <c r="H9" i="4"/>
  <c r="H17" i="1"/>
  <c r="D10" i="5"/>
  <c r="J7" i="5" l="1"/>
  <c r="J6" i="5"/>
  <c r="J5" i="5"/>
  <c r="H20" i="1"/>
  <c r="G6" i="1" s="1"/>
  <c r="I20" i="1"/>
  <c r="J20" i="1" s="1"/>
  <c r="E6" i="1"/>
</calcChain>
</file>

<file path=xl/sharedStrings.xml><?xml version="1.0" encoding="utf-8"?>
<sst xmlns="http://schemas.openxmlformats.org/spreadsheetml/2006/main" count="1070" uniqueCount="236">
  <si>
    <t>FUND MANAGEMENT &amp; RECONCILIATION</t>
  </si>
  <si>
    <t>FY2025 Multi-Fund Portfolio  ·  8 Active Funds  ·  Monthly Bank Reconciliation</t>
  </si>
  <si>
    <t>TOTAL FUNDS UNDER MGMT</t>
  </si>
  <si>
    <t>YTD EXPENDITURES</t>
  </si>
  <si>
    <t>CURRENT BALANCE</t>
  </si>
  <si>
    <t>RECONCILIATION STATUS</t>
  </si>
  <si>
    <t>8 active funds · FY2025</t>
  </si>
  <si>
    <t>All outflows · to date</t>
  </si>
  <si>
    <t>After inflows &amp; outflows</t>
  </si>
  <si>
    <t>12 of 12 months · zero variance</t>
  </si>
  <si>
    <t>FUND BALANCES SUMMARY</t>
  </si>
  <si>
    <t>Code</t>
  </si>
  <si>
    <t>Fund Name</t>
  </si>
  <si>
    <t>Category</t>
  </si>
  <si>
    <t>Opening Balance</t>
  </si>
  <si>
    <t>Inflows (YTD)</t>
  </si>
  <si>
    <t>Outflows (YTD)</t>
  </si>
  <si>
    <t>Current Balance</t>
  </si>
  <si>
    <t>Utilization</t>
  </si>
  <si>
    <t>Status</t>
  </si>
  <si>
    <t>GF-001</t>
  </si>
  <si>
    <t>General Operating Fund</t>
  </si>
  <si>
    <t>State</t>
  </si>
  <si>
    <t>FG-204</t>
  </si>
  <si>
    <t>Federal Grant - Community Dev</t>
  </si>
  <si>
    <t>Federal</t>
  </si>
  <si>
    <t>FG-315</t>
  </si>
  <si>
    <t>Federal Grant - Workforce Initiative</t>
  </si>
  <si>
    <t>TR-101</t>
  </si>
  <si>
    <t>Governor's Office Travel Fund</t>
  </si>
  <si>
    <t>EV-050</t>
  </si>
  <si>
    <t>Annual Stakeholder Event Fund</t>
  </si>
  <si>
    <t>Event</t>
  </si>
  <si>
    <t>CM-440</t>
  </si>
  <si>
    <t>Capital Maintenance Fund</t>
  </si>
  <si>
    <t>SG-112</t>
  </si>
  <si>
    <t>Subgrantee Pass-Through Fund</t>
  </si>
  <si>
    <t>OP-220</t>
  </si>
  <si>
    <t>Agency Operations Fund</t>
  </si>
  <si>
    <t>TOTAL</t>
  </si>
  <si>
    <t>CONTROLS &amp; NOTES</t>
  </si>
  <si>
    <t xml:space="preserve">  ▸  All fund balances are reconciled monthly against AZ360 State Accounting System ledger entries.</t>
  </si>
  <si>
    <t xml:space="preserve">  ▸  Utilization % highlighted in green (On Track ≤60%), amber (Monitor 60–85%), red (Review &gt;85%).</t>
  </si>
  <si>
    <t xml:space="preserve">  ▸  Federal fund drawdowns processed via ACH in compliance with 2 CFR 200 and SAAM guidance.</t>
  </si>
  <si>
    <t xml:space="preserve">  ▸  Inflows and outflows pull dynamically from the Transactions ledger via SUMIFS.</t>
  </si>
  <si>
    <t>Illustrative portfolio model  ·  Figures are synthesized to demonstrate workflow and do not represent actual State of Arizona financial records.</t>
  </si>
  <si>
    <t>Prepared by Thomas P. McCoy  ·  Senior Accountant &amp; Grant Auditor  ·  Modeled on multi-fund state accounting operations</t>
  </si>
  <si>
    <t>FUND REGISTER  —  Master list of all fund codes, categories, and authorization details</t>
  </si>
  <si>
    <t>FY Start</t>
  </si>
  <si>
    <t>FY End</t>
  </si>
  <si>
    <t>Budget Authority</t>
  </si>
  <si>
    <t>Manager</t>
  </si>
  <si>
    <t>Active</t>
  </si>
  <si>
    <t>T. McCoy</t>
  </si>
  <si>
    <t>TRANSACTIONS LEDGER  —  All FY2025 fund activity tied to Fund Codes for SUMIFS aggregation</t>
  </si>
  <si>
    <t>Date</t>
  </si>
  <si>
    <t>Fund Code</t>
  </si>
  <si>
    <t>Description</t>
  </si>
  <si>
    <t>Type</t>
  </si>
  <si>
    <t>Amount</t>
  </si>
  <si>
    <t>Vendor/Source</t>
  </si>
  <si>
    <t>GL Account</t>
  </si>
  <si>
    <t>Program Materials</t>
  </si>
  <si>
    <t>Outflow</t>
  </si>
  <si>
    <t>Print Pro</t>
  </si>
  <si>
    <t>7020-Materials</t>
  </si>
  <si>
    <t>Federal Drawdown</t>
  </si>
  <si>
    <t>Inflow</t>
  </si>
  <si>
    <t>US Treasury</t>
  </si>
  <si>
    <t>4100-Fed Draw</t>
  </si>
  <si>
    <t>State Appropriation</t>
  </si>
  <si>
    <t>State Treasurer</t>
  </si>
  <si>
    <t>4010-Approp</t>
  </si>
  <si>
    <t>Facility Repair</t>
  </si>
  <si>
    <t>Johnson Controls</t>
  </si>
  <si>
    <t>5610-Repair</t>
  </si>
  <si>
    <t>Sponsor Revenue</t>
  </si>
  <si>
    <t>Sponsor Partners</t>
  </si>
  <si>
    <t>4040-Sponsor</t>
  </si>
  <si>
    <t>Venue Rental</t>
  </si>
  <si>
    <t>Phoenix Convention Ctr</t>
  </si>
  <si>
    <t>5510-Venue</t>
  </si>
  <si>
    <t>Fee Revenue</t>
  </si>
  <si>
    <t>Various</t>
  </si>
  <si>
    <t>4020-Fees</t>
  </si>
  <si>
    <t>Registration Revenue</t>
  </si>
  <si>
    <t>Attendees</t>
  </si>
  <si>
    <t>4030-Event Rev</t>
  </si>
  <si>
    <t>Catering</t>
  </si>
  <si>
    <t>Cateria Catering</t>
  </si>
  <si>
    <t>5520-Catering</t>
  </si>
  <si>
    <t>Consultant Fee</t>
  </si>
  <si>
    <t>Horizon Planning</t>
  </si>
  <si>
    <t>7030-Consultant</t>
  </si>
  <si>
    <t>Training</t>
  </si>
  <si>
    <t>SkillPath Seminars</t>
  </si>
  <si>
    <t>5300-Training</t>
  </si>
  <si>
    <t>Legal Services</t>
  </si>
  <si>
    <t>Snell &amp; Wilmer</t>
  </si>
  <si>
    <t>5720-Legal</t>
  </si>
  <si>
    <t>IT Services</t>
  </si>
  <si>
    <t>Insight Direct</t>
  </si>
  <si>
    <t>5710-IT Svc</t>
  </si>
  <si>
    <t>Flight - Official Travel</t>
  </si>
  <si>
    <t>Adtrav</t>
  </si>
  <si>
    <t>5410-Travel Air</t>
  </si>
  <si>
    <t>AV Services</t>
  </si>
  <si>
    <t>EventPro AV</t>
  </si>
  <si>
    <t>5530-AV</t>
  </si>
  <si>
    <t>Workforce Training</t>
  </si>
  <si>
    <t>WestCare AZ</t>
  </si>
  <si>
    <t>7040-Training</t>
  </si>
  <si>
    <t>Payroll</t>
  </si>
  <si>
    <t>ADP Payroll Services</t>
  </si>
  <si>
    <t>6010-Payroll</t>
  </si>
  <si>
    <t>Subgrantee Disbursement</t>
  </si>
  <si>
    <t>Coconino County</t>
  </si>
  <si>
    <t>7010-Subgrant</t>
  </si>
  <si>
    <t>HVAC Service</t>
  </si>
  <si>
    <t>Parker HVAC</t>
  </si>
  <si>
    <t>5620-HVAC</t>
  </si>
  <si>
    <t>Print Collateral</t>
  </si>
  <si>
    <t>AlphaGraphics</t>
  </si>
  <si>
    <t>5540-Print</t>
  </si>
  <si>
    <t>Software License</t>
  </si>
  <si>
    <t>Microsoft</t>
  </si>
  <si>
    <t>5050-Software</t>
  </si>
  <si>
    <t>Transfer In</t>
  </si>
  <si>
    <t>4200-Transfer</t>
  </si>
  <si>
    <t>Subgrantee Payment</t>
  </si>
  <si>
    <t>Pima County</t>
  </si>
  <si>
    <t>Insurance Premium</t>
  </si>
  <si>
    <t>State Risk Pool</t>
  </si>
  <si>
    <t>5730-Insurance</t>
  </si>
  <si>
    <t>Per Diem</t>
  </si>
  <si>
    <t>GSA Rate</t>
  </si>
  <si>
    <t>5440-Per Diem</t>
  </si>
  <si>
    <t>Equipment</t>
  </si>
  <si>
    <t>Dell Technologies</t>
  </si>
  <si>
    <t>7050-Equipment</t>
  </si>
  <si>
    <t>Lodging</t>
  </si>
  <si>
    <t>Hilton</t>
  </si>
  <si>
    <t>5420-Travel Lodging</t>
  </si>
  <si>
    <t>City of Mesa</t>
  </si>
  <si>
    <t>Professional Services</t>
  </si>
  <si>
    <t>Deloitte Consulting</t>
  </si>
  <si>
    <t>5200-Prof Svc</t>
  </si>
  <si>
    <t>Maricopa County</t>
  </si>
  <si>
    <t>Utilities</t>
  </si>
  <si>
    <t>APS Electric</t>
  </si>
  <si>
    <t>5100-Utilities</t>
  </si>
  <si>
    <t>Office Supplies</t>
  </si>
  <si>
    <t>Staples</t>
  </si>
  <si>
    <t>5010-Supplies</t>
  </si>
  <si>
    <t>TOTALS  (140 transactions)</t>
  </si>
  <si>
    <t>MONTHLY BANK RECONCILIATION  —  Bank Statement vs. General Ledger</t>
  </si>
  <si>
    <t>Formula: Variance = (Bank Balance + Deposits in Transit − Outstanding Checks) − GL Balance.  Target = $0.00</t>
  </si>
  <si>
    <t>Month</t>
  </si>
  <si>
    <t>Bank Balance</t>
  </si>
  <si>
    <t>GL Balance</t>
  </si>
  <si>
    <t>Deposits in Transit</t>
  </si>
  <si>
    <t>Outstanding Checks</t>
  </si>
  <si>
    <t>Variance</t>
  </si>
  <si>
    <t>Notes</t>
  </si>
  <si>
    <t>January 2025</t>
  </si>
  <si>
    <t>All items cleared by M+3</t>
  </si>
  <si>
    <t>February 2025</t>
  </si>
  <si>
    <t>Clean reconciliation</t>
  </si>
  <si>
    <t>March 2025</t>
  </si>
  <si>
    <t>Q1 close completed on schedule</t>
  </si>
  <si>
    <t>April 2025</t>
  </si>
  <si>
    <t>Travel accruals adjusted</t>
  </si>
  <si>
    <t>May 2025</t>
  </si>
  <si>
    <t>Federal drawdown timing normalized</t>
  </si>
  <si>
    <t>June 2025</t>
  </si>
  <si>
    <t>FY close — zero unadjusted variance</t>
  </si>
  <si>
    <t>July 2025</t>
  </si>
  <si>
    <t>FY26 opening cycle</t>
  </si>
  <si>
    <t>August 2025</t>
  </si>
  <si>
    <t>Clean recon</t>
  </si>
  <si>
    <t>September 2025</t>
  </si>
  <si>
    <t>Federal FY close complete</t>
  </si>
  <si>
    <t>October 2025</t>
  </si>
  <si>
    <t>All items traced</t>
  </si>
  <si>
    <t>November 2025</t>
  </si>
  <si>
    <t>Budget carryover booked</t>
  </si>
  <si>
    <t>December 2025</t>
  </si>
  <si>
    <t>YE close — zero variance</t>
  </si>
  <si>
    <t>Clean</t>
  </si>
  <si>
    <t>12 of 12 months reconciled</t>
  </si>
  <si>
    <t>RECONCILIATION METHODOLOGY</t>
  </si>
  <si>
    <t xml:space="preserve">  1. Pull bank statement balance at month-end from treasury portal (JP Morgan Gov't Banking).</t>
  </si>
  <si>
    <t xml:space="preserve">  2. Extract GL balance from AZ360 State Accounting System — Fund-level trial balance.</t>
  </si>
  <si>
    <t xml:space="preserve">  3. Identify timing differences: deposits in transit + outstanding checks + adjusting entries.</t>
  </si>
  <si>
    <t xml:space="preserve">  4. Variance calculation: (Bank + DIT − OC) − GL.  Target = $0.00.</t>
  </si>
  <si>
    <t xml:space="preserve">  5. Document exceptions and resolve within 3 business days of month-end close.</t>
  </si>
  <si>
    <t>EXPENDITURE ANALYSIS  —  Pivot-style summaries via SUMIFS, refresh-free</t>
  </si>
  <si>
    <t>OUTFLOWS BY FUND</t>
  </si>
  <si>
    <t>OUTFLOWS BY FUND CATEGORY</t>
  </si>
  <si>
    <t>Fund</t>
  </si>
  <si>
    <t>Outflows</t>
  </si>
  <si>
    <t>% of Total</t>
  </si>
  <si>
    <t>Remaining</t>
  </si>
  <si>
    <t>GF-001 — General Operating Fund</t>
  </si>
  <si>
    <t>FG-204 — Federal Grant - Community Dev</t>
  </si>
  <si>
    <t>FG-315 — Federal Grant - Workforce Initiative</t>
  </si>
  <si>
    <t>TR-101 — Governor's Office Travel Fund</t>
  </si>
  <si>
    <t>100.0%</t>
  </si>
  <si>
    <t>EV-050 — Annual Stakeholder Event Fund</t>
  </si>
  <si>
    <t>CM-440 — Capital Maintenance Fund</t>
  </si>
  <si>
    <t>SG-112 — Subgrantee Pass-Through Fund</t>
  </si>
  <si>
    <t>OP-220 — Agency Operations Fund</t>
  </si>
  <si>
    <t>Inflows</t>
  </si>
  <si>
    <t>Net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</si>
  <si>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</si>
  <si>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</si>
  <si>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</si>
  <si>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</si>
  <si>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</si>
  <si>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</si>
  <si>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</si>
  <si>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</si>
  <si>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</si>
  <si>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</si>
  <si>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</si>
  <si>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</si>
  <si>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VISUAL ANALYSIS  —  Fund Management &amp; Reconciliation FY2025</t>
  </si>
  <si>
    <t>Six views of fund activity, spending composition, and reconciliation performance</t>
  </si>
  <si>
    <t>§ 01  ·  FUND-LEVEL ACTIVITY</t>
  </si>
  <si>
    <t>§ 02  ·  MONTHLY CASH FLOW &amp; NET POSITION</t>
  </si>
  <si>
    <t>§ 03  ·  FUND UTILIZATION &amp; RECONCILIATION PERFORMANCE</t>
  </si>
  <si>
    <t>§ 04  ·  KEY INSIGHTS</t>
  </si>
  <si>
    <t xml:space="preserve">  ▸  $5.52M managed across 8 funds — State, Federal, and Event — with zero reconciliation variances across all 12 months.</t>
  </si>
  <si>
    <t xml:space="preserve">  ▸  Federal fund activity (Community Dev, Workforce Initiative, Subgrantee) represents the largest spending category, consistent with grant pass-through operations.</t>
  </si>
  <si>
    <t xml:space="preserve">  ▸  Monthly net cash flow patterns identify Q3 drawdown spikes — useful for forecasting FY26 cash-position requirements.</t>
  </si>
  <si>
    <t xml:space="preserve">  ▸  Full SUMIFS-driven aggregation allows the dashboard and pivots to auto-update as new transactions land in the ledger.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</si>
</sst>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;&quot;($&quot;#,##0\);\—"/>
    <numFmt numFmtId="165" formatCode="\$#,##0"/>
    <numFmt numFmtId="166" formatCode="0.0%"/>
    <numFmt numFmtId="167" formatCode="mm/dd/yyyy"/>
    <numFmt numFmtId="168" formatCode="\$#,##0;&quot;($&quot;#,##0\)"/>
  </numFmts>
  <fonts count="27" x14ac:knownFonts="1">
    <font>
      <sz val="11"/>
      <color theme="1"/>
      <name val="Calibri"/>
      <family val="2"/>
      <charset val="1"/>
    </font>
    <font>
      <b/>
      <sz val="26"/>
      <color rgb="FF1A1A17"/>
      <name val="Calibri"/>
      <family val="2"/>
    </font>
    <font>
      <i/>
      <sz val="12"/>
      <color rgb="FF6B665E"/>
      <name val="Calibri"/>
      <family val="2"/>
    </font>
    <font>
      <b/>
      <sz val="9"/>
      <color rgb="FFFFFFFF"/>
      <name val="Calibri"/>
      <family val="2"/>
    </font>
    <font>
      <b/>
      <sz val="22"/>
      <color rgb="FFFFFFFF"/>
      <name val="Calibri"/>
      <family val="2"/>
    </font>
    <font>
      <b/>
      <sz val="18"/>
      <color rgb="FFFFFFFF"/>
      <name val="Calibri"/>
      <family val="2"/>
    </font>
    <font>
      <i/>
      <sz val="9"/>
      <color rgb="FFFFFFFF"/>
      <name val="Calibri"/>
      <family val="2"/>
    </font>
    <font>
      <b/>
      <sz val="14"/>
      <color rgb="FF1A1A17"/>
      <name val="Calibri"/>
      <family val="2"/>
    </font>
    <font>
      <b/>
      <sz val="10"/>
      <color rgb="FFFFFFFF"/>
      <name val="Calibri"/>
      <family val="2"/>
    </font>
    <font>
      <b/>
      <sz val="10"/>
      <color rgb="FFA0032A"/>
      <name val="Calibri"/>
      <family val="2"/>
    </font>
    <font>
      <sz val="10"/>
      <color rgb="FF1A1A17"/>
      <name val="Calibri"/>
      <family val="2"/>
    </font>
    <font>
      <b/>
      <sz val="10"/>
      <color rgb="FF2D5F3F"/>
      <name val="Calibri"/>
      <family val="2"/>
    </font>
    <font>
      <b/>
      <sz val="11"/>
      <color rgb="FFFFFFFF"/>
      <name val="Calibri"/>
      <family val="2"/>
    </font>
    <font>
      <b/>
      <i/>
      <sz val="9"/>
      <color rgb="FFA0032A"/>
      <name val="Calibri"/>
      <family val="2"/>
    </font>
    <font>
      <i/>
      <sz val="9"/>
      <color rgb="FF8A857D"/>
      <name val="Calibri"/>
      <family val="2"/>
    </font>
    <font>
      <b/>
      <sz val="16"/>
      <color rgb="FF1A1A17"/>
      <name val="Calibri"/>
      <family val="2"/>
    </font>
    <font>
      <sz val="9"/>
      <color rgb="FF1A1A17"/>
      <name val="Calibri"/>
      <family val="2"/>
    </font>
    <font>
      <b/>
      <sz val="9"/>
      <color rgb="FFA0032A"/>
      <name val="Calibri"/>
      <family val="2"/>
    </font>
    <font>
      <sz val="9"/>
      <color rgb="FF2C2C29"/>
      <name val="Calibri"/>
      <family val="2"/>
    </font>
    <font>
      <sz val="9"/>
      <color rgb="FF8A857D"/>
      <name val="Calibri"/>
      <family val="2"/>
    </font>
    <font>
      <b/>
      <sz val="9"/>
      <color rgb="FF2D5F3F"/>
      <name val="Calibri"/>
      <family val="2"/>
    </font>
    <font>
      <i/>
      <sz val="11"/>
      <color rgb="FF8A857D"/>
      <name val="Calibri"/>
      <family val="2"/>
    </font>
    <font>
      <sz val="10"/>
      <color rgb="FF2C2C29"/>
      <name val="Calibri"/>
      <family val="2"/>
    </font>
    <font>
      <b/>
      <sz val="13"/>
      <color rgb="FF1A1A17"/>
      <name val="Calibri"/>
      <family val="2"/>
    </font>
    <font>
      <b/>
      <sz val="10"/>
      <color rgb="FF1A1A17"/>
      <name val="Calibri"/>
      <family val="2"/>
    </font>
    <font>
      <b/>
      <sz val="18"/>
      <color rgb="FF1A1A17"/>
      <name val="Calibri"/>
      <family val="2"/>
    </font>
    <font>
      <sz val="11"/>
      <color rgb="FF1A1A17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A1A17"/>
        <bgColor rgb="FF2C2C29"/>
      </patternFill>
    </fill>
    <fill>
      <patternFill patternType="solid">
        <fgColor rgb="FFA0032A"/>
        <bgColor rgb="FF800000"/>
      </patternFill>
    </fill>
    <fill>
      <patternFill patternType="solid">
        <fgColor rgb="FF2D5F3F"/>
        <bgColor rgb="FF6B665E"/>
      </patternFill>
    </fill>
    <fill>
      <patternFill patternType="solid">
        <fgColor rgb="FFB8860B"/>
        <bgColor rgb="FFFF9900"/>
      </patternFill>
    </fill>
    <fill>
      <patternFill patternType="solid">
        <fgColor rgb="FFF8F4EC"/>
        <bgColor rgb="FFFDF3D4"/>
      </patternFill>
    </fill>
    <fill>
      <patternFill patternType="solid">
        <fgColor rgb="FFFFFFFF"/>
        <bgColor rgb="FFF8F4EC"/>
      </patternFill>
    </fill>
  </fills>
  <borders count="6">
    <border>
      <left/>
      <right/>
      <top/>
      <bottom/>
      <diagonal/>
    </border>
    <border>
      <left/>
      <right/>
      <top/>
      <bottom style="thick">
        <color rgb="FFA0032A"/>
      </bottom>
      <diagonal/>
    </border>
    <border>
      <left/>
      <right/>
      <top/>
      <bottom style="medium">
        <color rgb="FF1A1A17"/>
      </bottom>
      <diagonal/>
    </border>
    <border>
      <left style="thin">
        <color rgb="FF1A1A17"/>
      </left>
      <right style="thin">
        <color rgb="FF1A1A17"/>
      </right>
      <top style="thin">
        <color rgb="FF1A1A17"/>
      </top>
      <bottom style="thin">
        <color rgb="FF1A1A17"/>
      </bottom>
      <diagonal/>
    </border>
    <border>
      <left style="thin">
        <color rgb="FFE0DDD4"/>
      </left>
      <right style="thin">
        <color rgb="FFE0DDD4"/>
      </right>
      <top style="thin">
        <color rgb="FFE0DDD4"/>
      </top>
      <bottom style="thin">
        <color rgb="FFE0DDD4"/>
      </bottom>
      <diagonal/>
    </border>
    <border>
      <left style="thin">
        <color rgb="FF1A1A17"/>
      </left>
      <right/>
      <top style="thin">
        <color rgb="FF1A1A17"/>
      </top>
      <bottom style="thin">
        <color rgb="FF1A1A17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8" fillId="2" borderId="3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left" vertical="center" indent="1"/>
    </xf>
    <xf numFmtId="0" fontId="10" fillId="6" borderId="4" xfId="0" applyFont="1" applyFill="1" applyBorder="1" applyAlignment="1">
      <alignment horizontal="left" vertical="center" indent="1"/>
    </xf>
    <xf numFmtId="0" fontId="10" fillId="6" borderId="4" xfId="0" applyFont="1" applyFill="1" applyBorder="1" applyAlignment="1">
      <alignment horizontal="center" vertical="center"/>
    </xf>
    <xf numFmtId="165" fontId="10" fillId="6" borderId="4" xfId="0" applyNumberFormat="1" applyFont="1" applyFill="1" applyBorder="1" applyAlignment="1">
      <alignment horizontal="right" vertical="center" indent="1"/>
    </xf>
    <xf numFmtId="164" fontId="10" fillId="6" borderId="4" xfId="0" applyNumberFormat="1" applyFont="1" applyFill="1" applyBorder="1" applyAlignment="1">
      <alignment horizontal="right" vertical="center" indent="1"/>
    </xf>
    <xf numFmtId="166" fontId="10" fillId="6" borderId="4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left" vertical="center" indent="1"/>
    </xf>
    <xf numFmtId="0" fontId="10" fillId="7" borderId="4" xfId="0" applyFont="1" applyFill="1" applyBorder="1" applyAlignment="1">
      <alignment horizontal="left" vertical="center" indent="1"/>
    </xf>
    <xf numFmtId="0" fontId="10" fillId="7" borderId="4" xfId="0" applyFont="1" applyFill="1" applyBorder="1" applyAlignment="1">
      <alignment horizontal="center" vertical="center"/>
    </xf>
    <xf numFmtId="165" fontId="10" fillId="7" borderId="4" xfId="0" applyNumberFormat="1" applyFont="1" applyFill="1" applyBorder="1" applyAlignment="1">
      <alignment horizontal="right" vertical="center" indent="1"/>
    </xf>
    <xf numFmtId="164" fontId="10" fillId="7" borderId="4" xfId="0" applyNumberFormat="1" applyFont="1" applyFill="1" applyBorder="1" applyAlignment="1">
      <alignment horizontal="right" vertical="center" indent="1"/>
    </xf>
    <xf numFmtId="166" fontId="10" fillId="7" borderId="4" xfId="0" applyNumberFormat="1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left" vertical="center" indent="1"/>
    </xf>
    <xf numFmtId="165" fontId="12" fillId="2" borderId="3" xfId="0" applyNumberFormat="1" applyFont="1" applyFill="1" applyBorder="1" applyAlignment="1">
      <alignment horizontal="right" vertical="center" indent="1"/>
    </xf>
    <xf numFmtId="166" fontId="12" fillId="2" borderId="3" xfId="0" applyNumberFormat="1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left" vertical="center" wrapText="1" indent="1"/>
    </xf>
    <xf numFmtId="0" fontId="9" fillId="6" borderId="4" xfId="0" applyFont="1" applyFill="1" applyBorder="1" applyAlignment="1">
      <alignment horizontal="center" vertical="center"/>
    </xf>
    <xf numFmtId="167" fontId="10" fillId="6" borderId="4" xfId="0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67" fontId="10" fillId="7" borderId="4" xfId="0" applyNumberFormat="1" applyFont="1" applyFill="1" applyBorder="1" applyAlignment="1">
      <alignment horizontal="center" vertical="center"/>
    </xf>
    <xf numFmtId="167" fontId="16" fillId="6" borderId="4" xfId="0" applyNumberFormat="1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 indent="1"/>
    </xf>
    <xf numFmtId="165" fontId="16" fillId="6" borderId="4" xfId="0" applyNumberFormat="1" applyFont="1" applyFill="1" applyBorder="1" applyAlignment="1">
      <alignment horizontal="right" vertical="center" indent="1"/>
    </xf>
    <xf numFmtId="0" fontId="18" fillId="6" borderId="4" xfId="0" applyFont="1" applyFill="1" applyBorder="1" applyAlignment="1">
      <alignment horizontal="left" vertical="center" indent="1"/>
    </xf>
    <xf numFmtId="0" fontId="19" fillId="6" borderId="4" xfId="0" applyFont="1" applyFill="1" applyBorder="1" applyAlignment="1">
      <alignment horizontal="left" vertical="center" indent="1"/>
    </xf>
    <xf numFmtId="167" fontId="16" fillId="7" borderId="4" xfId="0" applyNumberFormat="1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left" vertical="center" indent="1"/>
    </xf>
    <xf numFmtId="0" fontId="20" fillId="7" borderId="4" xfId="0" applyFont="1" applyFill="1" applyBorder="1" applyAlignment="1">
      <alignment horizontal="center" vertical="center"/>
    </xf>
    <xf numFmtId="165" fontId="16" fillId="7" borderId="4" xfId="0" applyNumberFormat="1" applyFont="1" applyFill="1" applyBorder="1" applyAlignment="1">
      <alignment horizontal="right" vertical="center" indent="1"/>
    </xf>
    <xf numFmtId="0" fontId="18" fillId="7" borderId="4" xfId="0" applyFont="1" applyFill="1" applyBorder="1" applyAlignment="1">
      <alignment horizontal="left" vertical="center" indent="1"/>
    </xf>
    <xf numFmtId="0" fontId="19" fillId="7" borderId="4" xfId="0" applyFont="1" applyFill="1" applyBorder="1" applyAlignment="1">
      <alignment horizontal="left" vertical="center" indent="1"/>
    </xf>
    <xf numFmtId="0" fontId="20" fillId="6" borderId="4" xfId="0" applyFont="1" applyFill="1" applyBorder="1" applyAlignment="1">
      <alignment horizontal="center" vertical="center"/>
    </xf>
    <xf numFmtId="0" fontId="0" fillId="2" borderId="3" xfId="0" applyFill="1" applyBorder="1"/>
    <xf numFmtId="165" fontId="8" fillId="2" borderId="3" xfId="0" applyNumberFormat="1" applyFont="1" applyFill="1" applyBorder="1" applyAlignment="1">
      <alignment horizontal="right" vertical="center" indent="1"/>
    </xf>
    <xf numFmtId="0" fontId="22" fillId="6" borderId="4" xfId="0" applyFont="1" applyFill="1" applyBorder="1" applyAlignment="1">
      <alignment horizontal="left" vertical="center" indent="1"/>
    </xf>
    <xf numFmtId="0" fontId="22" fillId="7" borderId="4" xfId="0" applyFont="1" applyFill="1" applyBorder="1" applyAlignment="1">
      <alignment horizontal="left" vertical="center" indent="1"/>
    </xf>
    <xf numFmtId="0" fontId="24" fillId="6" borderId="4" xfId="0" applyFont="1" applyFill="1" applyBorder="1" applyAlignment="1">
      <alignment horizontal="left" vertical="center" indent="1"/>
    </xf>
    <xf numFmtId="0" fontId="24" fillId="7" borderId="4" xfId="0" applyFont="1" applyFill="1" applyBorder="1" applyAlignment="1">
      <alignment horizontal="left" vertical="center" indent="1"/>
    </xf>
    <xf numFmtId="0" fontId="8" fillId="2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center" vertical="center"/>
    </xf>
    <xf numFmtId="0" fontId="10" fillId="0" borderId="0" xfId="0" applyFont="1"/>
    <xf numFmtId="165" fontId="10" fillId="0" borderId="0" xfId="0" applyNumberFormat="1" applyFont="1"/>
    <xf numFmtId="0" fontId="10" fillId="0" borderId="0" xfId="0" applyFont="1" applyAlignment="1">
      <alignment horizontal="center"/>
    </xf>
    <xf numFmtId="168" fontId="10" fillId="0" borderId="0" xfId="0" applyNumberFormat="1" applyFont="1"/>
    <xf numFmtId="0" fontId="25" fillId="0" borderId="1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3" fillId="0" borderId="2" xfId="0" applyFont="1" applyBorder="1" applyAlignme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6" fillId="6" borderId="0" xfId="0" applyFont="1" applyFill="1" applyAlignment="1">
      <alignment horizontal="left" vertical="center" indent="1"/>
    </xf>
    <xf numFmtId="0" fontId="26" fillId="7" borderId="0" xfId="0" applyFont="1" applyFill="1" applyAlignment="1">
      <alignment horizontal="left" vertical="center" indent="1"/>
    </xf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7" fillId="0" borderId="2" xfId="0" applyFont="1" applyBorder="1" applyAlignment="1">
      <alignment vertical="center"/>
    </xf>
    <xf numFmtId="0" fontId="12" fillId="2" borderId="5" xfId="0" applyFont="1" applyFill="1" applyBorder="1" applyAlignment="1">
      <alignment horizontal="left" vertical="center" indent="1"/>
    </xf>
    <xf numFmtId="0" fontId="15" fillId="0" borderId="1" xfId="0" applyFont="1" applyBorder="1" applyAlignment="1">
      <alignment vertical="center"/>
    </xf>
    <xf numFmtId="0" fontId="8" fillId="2" borderId="3" xfId="0" applyFont="1" applyFill="1" applyBorder="1" applyAlignment="1">
      <alignment horizontal="left" vertical="center" indent="1"/>
    </xf>
  </cellXfs>
  <cellStyles count="1">
    <cellStyle name="Normal" xfId="0" builtinId="0"/>
  </cellStyles>
  <dxfs count="6">
    <dxf>
      <font>
        <b/>
        <sz val="10"/>
        <color rgb="FF2D5F3F"/>
        <name val="Calibri"/>
        <charset val="1"/>
      </font>
      <fill>
        <patternFill>
          <bgColor rgb="FFD4E4D4"/>
        </patternFill>
      </fill>
    </dxf>
    <dxf>
      <font>
        <b/>
        <sz val="10"/>
        <color rgb="FFA0032A"/>
        <name val="Calibri"/>
        <charset val="1"/>
      </font>
      <fill>
        <patternFill>
          <bgColor rgb="FFF4D4DA"/>
        </patternFill>
      </fill>
    </dxf>
    <dxf>
      <font>
        <b/>
        <sz val="10"/>
        <color rgb="FF2D5F3F"/>
        <name val="Calibri"/>
        <charset val="1"/>
      </font>
      <fill>
        <patternFill>
          <bgColor rgb="FFD4E4D4"/>
        </patternFill>
      </fill>
    </dxf>
    <dxf>
      <font>
        <b/>
        <sz val="10"/>
        <color rgb="FFB8860B"/>
        <name val="Calibri"/>
        <charset val="1"/>
      </font>
      <fill>
        <patternFill>
          <bgColor rgb="FFFDF3D4"/>
        </patternFill>
      </fill>
    </dxf>
    <dxf>
      <font>
        <b/>
        <sz val="10"/>
        <color rgb="FFA0032A"/>
        <name val="Calibri"/>
        <charset val="1"/>
      </font>
      <fill>
        <patternFill>
          <bgColor rgb="FFF4D4DA"/>
        </patternFill>
      </fill>
    </dxf>
    <dxf>
      <font>
        <b/>
        <sz val="10"/>
        <color rgb="FFA0032A"/>
        <name val="Calibri"/>
        <charset val="1"/>
      </font>
      <fill>
        <patternFill>
          <bgColor rgb="FFF4D4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0032A"/>
      <rgbColor rgb="FF2D5F3F"/>
      <rgbColor rgb="FF000080"/>
      <rgbColor rgb="FFB8860B"/>
      <rgbColor rgb="FF800080"/>
      <rgbColor rgb="FF008080"/>
      <rgbColor rgb="FFE0DDD4"/>
      <rgbColor rgb="FF8A857D"/>
      <rgbColor rgb="FF9999FF"/>
      <rgbColor rgb="FF993366"/>
      <rgbColor rgb="FFFDF3D4"/>
      <rgbColor rgb="FFF8F4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4D4"/>
      <rgbColor rgb="FFFFFF99"/>
      <rgbColor rgb="FF99CCFF"/>
      <rgbColor rgb="FFFF99CC"/>
      <rgbColor rgb="FFCC99FF"/>
      <rgbColor rgb="FFF4D4DA"/>
      <rgbColor rgb="FF4F81BD"/>
      <rgbColor rgb="FF33CCCC"/>
      <rgbColor rgb="FF99CC00"/>
      <rgbColor rgb="FFFFCC00"/>
      <rgbColor rgb="FFFF9900"/>
      <rgbColor rgb="FFFF6600"/>
      <rgbColor rgb="FF6B665E"/>
      <rgbColor rgb="FF878787"/>
      <rgbColor rgb="FF003366"/>
      <rgbColor rgb="FF339966"/>
      <rgbColor rgb="FF003300"/>
      <rgbColor rgb="FF1A1A17"/>
      <rgbColor rgb="FF993300"/>
      <rgbColor rgb="FF993366"/>
      <rgbColor rgb="FF333399"/>
      <rgbColor rgb="FF2C2C2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Inflows vs. Outflows by Fund (YTD)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_ChartData!$B$1</c:f>
              <c:strCache>
                <c:ptCount val="1"/>
                <c:pt idx="0">
                  <c:v>Inflows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_ChartData!$A$2:$A$9</c:f>
              <c:strCache>
                <c:ptCount val="8"/>
                <c:pt idx="0">
                  <c:v>GF-001</c:v>
                </c:pt>
                <c:pt idx="1">
                  <c:v>FG-204</c:v>
                </c:pt>
                <c:pt idx="2">
                  <c:v>FG-315</c:v>
                </c:pt>
                <c:pt idx="3">
                  <c:v>TR-101</c:v>
                </c:pt>
                <c:pt idx="4">
                  <c:v>EV-050</c:v>
                </c:pt>
                <c:pt idx="5">
                  <c:v>CM-440</c:v>
                </c:pt>
                <c:pt idx="6">
                  <c:v>SG-112</c:v>
                </c:pt>
                <c:pt idx="7">
                  <c:v>OP-220</c:v>
                </c:pt>
              </c:strCache>
            </c:strRef>
          </c:cat>
          <c:val>
            <c:numRef>
              <c:f>_ChartData!$B$2:$B$9</c:f>
              <c:numCache>
                <c:formatCode>\$#,##0</c:formatCode>
                <c:ptCount val="8"/>
                <c:pt idx="0">
                  <c:v>668000</c:v>
                </c:pt>
                <c:pt idx="1">
                  <c:v>370000</c:v>
                </c:pt>
                <c:pt idx="2">
                  <c:v>260000</c:v>
                </c:pt>
                <c:pt idx="3">
                  <c:v>115000</c:v>
                </c:pt>
                <c:pt idx="4">
                  <c:v>67000</c:v>
                </c:pt>
                <c:pt idx="5">
                  <c:v>195000</c:v>
                </c:pt>
                <c:pt idx="6">
                  <c:v>1140000</c:v>
                </c:pt>
                <c:pt idx="7">
                  <c:v>555000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4-4555-B585-ADBFB4938DD8}"/>
            </c:ext>
          </c:extLst>
        </c:ser>
        <c:ser>
          <c:idx val="1"/>
          <c:order val="1"/>
          <c:tx>
            <c:strRef>
              <c:f>_ChartData!$C$1</c:f>
              <c:strCache>
                <c:ptCount val="1"/>
                <c:pt idx="0">
                  <c:v>Outflows</c:v>
                </c:pt>
              </c:strCache>
            </c:strRef>
          </c:tx>
          <c:spPr>
            <a:solidFill>
              <a:srgbClr val="A0032A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_ChartData!$A$2:$A$9</c:f>
              <c:strCache>
                <c:ptCount val="8"/>
                <c:pt idx="0">
                  <c:v>GF-001</c:v>
                </c:pt>
                <c:pt idx="1">
                  <c:v>FG-204</c:v>
                </c:pt>
                <c:pt idx="2">
                  <c:v>FG-315</c:v>
                </c:pt>
                <c:pt idx="3">
                  <c:v>TR-101</c:v>
                </c:pt>
                <c:pt idx="4">
                  <c:v>EV-050</c:v>
                </c:pt>
                <c:pt idx="5">
                  <c:v>CM-440</c:v>
                </c:pt>
                <c:pt idx="6">
                  <c:v>SG-112</c:v>
                </c:pt>
                <c:pt idx="7">
                  <c:v>OP-220</c:v>
                </c:pt>
              </c:strCache>
            </c:strRef>
          </c:cat>
          <c:val>
            <c:numRef>
              <c:f>_ChartData!$C$2:$C$9</c:f>
              <c:numCache>
                <c:formatCode>\$#,##0</c:formatCode>
                <c:ptCount val="8"/>
                <c:pt idx="0">
                  <c:v>315548</c:v>
                </c:pt>
                <c:pt idx="1">
                  <c:v>368229</c:v>
                </c:pt>
                <c:pt idx="2">
                  <c:v>275434</c:v>
                </c:pt>
                <c:pt idx="3">
                  <c:v>36476</c:v>
                </c:pt>
                <c:pt idx="4">
                  <c:v>96803</c:v>
                </c:pt>
                <c:pt idx="5">
                  <c:v>132688</c:v>
                </c:pt>
                <c:pt idx="6">
                  <c:v>899738</c:v>
                </c:pt>
                <c:pt idx="7">
                  <c:v>328132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4-4555-B585-ADBFB4938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83109652"/>
        <c:axId val="23540374"/>
      </c:barChart>
      <c:catAx>
        <c:axId val="831096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540374"/>
        <c:crosses val="autoZero"/>
        <c:auto val="1"/>
        <c:lblAlgn val="ctr"/>
        <c:lblOffset val="100"/>
        <c:noMultiLvlLbl val="0"/>
      </c:catAx>
      <c:valAx>
        <c:axId val="235403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1096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Outflows by Fund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_ChartData!$F$1</c:f>
              <c:strCache>
                <c:ptCount val="1"/>
                <c:pt idx="0">
                  <c:v>Outflows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1A1A1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8D1E-4AC5-84AC-E1742182DBC8}"/>
              </c:ext>
            </c:extLst>
          </c:dPt>
          <c:dPt>
            <c:idx val="1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D1E-4AC5-84AC-E1742182DBC8}"/>
              </c:ext>
            </c:extLst>
          </c:dPt>
          <c:dPt>
            <c:idx val="2"/>
            <c:bubble3D val="0"/>
            <c:spPr>
              <a:solidFill>
                <a:srgbClr val="B8860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8D1E-4AC5-84AC-E1742182DBC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chemeClr val="bg1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E-4AC5-84AC-E1742182DBC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chemeClr val="bg1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1E-4AC5-84AC-E1742182DBC8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chemeClr val="bg1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E-4AC5-84AC-E1742182DB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_ChartData!$E$2:$E$4</c:f>
              <c:strCache>
                <c:ptCount val="3"/>
                <c:pt idx="0">
                  <c:v>State</c:v>
                </c:pt>
                <c:pt idx="1">
                  <c:v>Federal</c:v>
                </c:pt>
                <c:pt idx="2">
                  <c:v>Event</c:v>
                </c:pt>
              </c:strCache>
            </c:strRef>
          </c:cat>
          <c:val>
            <c:numRef>
              <c:f>_ChartData!$F$2:$F$4</c:f>
              <c:numCache>
                <c:formatCode>\$#,##0</c:formatCode>
                <c:ptCount val="3"/>
                <c:pt idx="0">
                  <c:v>812844</c:v>
                </c:pt>
                <c:pt idx="1">
                  <c:v>1543401</c:v>
                </c:pt>
                <c:pt idx="2">
                  <c:v>96803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1E-4AC5-84AC-E1742182D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Inflows vs. Outflows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_ChartData!$I$1</c:f>
              <c:strCache>
                <c:ptCount val="1"/>
                <c:pt idx="0">
                  <c:v>Inflows</c:v>
                </c:pt>
              </c:strCache>
            </c:strRef>
          </c:tx>
          <c:spPr>
            <a:ln w="28080">
              <a:solidFill>
                <a:schemeClr val="accent3">
                  <a:lumMod val="75000"/>
                </a:scheme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_ChartData!$H$2:$H$11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</c:strCache>
            </c:strRef>
          </c:cat>
          <c:val>
            <c:numRef>
              <c:f>_ChartData!$I$2:$I$11</c:f>
              <c:numCache>
                <c:formatCode>\$#,##0</c:formatCode>
                <c:ptCount val="10"/>
                <c:pt idx="0">
                  <c:v>590000</c:v>
                </c:pt>
                <c:pt idx="1">
                  <c:v>122000</c:v>
                </c:pt>
                <c:pt idx="2">
                  <c:v>280000</c:v>
                </c:pt>
                <c:pt idx="3">
                  <c:v>372000</c:v>
                </c:pt>
                <c:pt idx="4">
                  <c:v>213000</c:v>
                </c:pt>
                <c:pt idx="5">
                  <c:v>310000</c:v>
                </c:pt>
                <c:pt idx="6">
                  <c:v>0</c:v>
                </c:pt>
                <c:pt idx="7">
                  <c:v>703000</c:v>
                </c:pt>
                <c:pt idx="8">
                  <c:v>395000</c:v>
                </c:pt>
                <c:pt idx="9">
                  <c:v>385000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68-4F5E-A5CD-7DD613B3DA11}"/>
            </c:ext>
          </c:extLst>
        </c:ser>
        <c:ser>
          <c:idx val="1"/>
          <c:order val="1"/>
          <c:tx>
            <c:strRef>
              <c:f>_ChartData!$J$1</c:f>
              <c:strCache>
                <c:ptCount val="1"/>
                <c:pt idx="0">
                  <c:v>Outflows</c:v>
                </c:pt>
              </c:strCache>
            </c:strRef>
          </c:tx>
          <c:spPr>
            <a:ln w="28080">
              <a:solidFill>
                <a:srgbClr val="A0032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_ChartData!$H$2:$H$11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</c:strCache>
            </c:strRef>
          </c:cat>
          <c:val>
            <c:numRef>
              <c:f>_ChartData!$J$2:$J$11</c:f>
              <c:numCache>
                <c:formatCode>\$#,##0</c:formatCode>
                <c:ptCount val="10"/>
                <c:pt idx="0">
                  <c:v>83148</c:v>
                </c:pt>
                <c:pt idx="1">
                  <c:v>263697</c:v>
                </c:pt>
                <c:pt idx="2">
                  <c:v>333053</c:v>
                </c:pt>
                <c:pt idx="3">
                  <c:v>465443</c:v>
                </c:pt>
                <c:pt idx="4">
                  <c:v>245411</c:v>
                </c:pt>
                <c:pt idx="5">
                  <c:v>113723</c:v>
                </c:pt>
                <c:pt idx="6">
                  <c:v>109065</c:v>
                </c:pt>
                <c:pt idx="7">
                  <c:v>357830</c:v>
                </c:pt>
                <c:pt idx="8">
                  <c:v>395413</c:v>
                </c:pt>
                <c:pt idx="9">
                  <c:v>86265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68-4F5E-A5CD-7DD613B3D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0340612"/>
        <c:axId val="37498907"/>
      </c:lineChart>
      <c:catAx>
        <c:axId val="603406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498907"/>
        <c:crosses val="autoZero"/>
        <c:auto val="1"/>
        <c:lblAlgn val="ctr"/>
        <c:lblOffset val="100"/>
        <c:noMultiLvlLbl val="0"/>
      </c:catAx>
      <c:valAx>
        <c:axId val="374989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03406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Net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_ChartData!$K$1</c:f>
              <c:strCache>
                <c:ptCount val="1"/>
                <c:pt idx="0">
                  <c:v>Net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74C-4F5D-B6D2-0882330BFC6D}"/>
              </c:ext>
            </c:extLst>
          </c:dPt>
          <c:dPt>
            <c:idx val="1"/>
            <c:invertIfNegative val="0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74C-4F5D-B6D2-0882330BFC6D}"/>
              </c:ext>
            </c:extLst>
          </c:dPt>
          <c:dPt>
            <c:idx val="2"/>
            <c:invertIfNegative val="0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74C-4F5D-B6D2-0882330BFC6D}"/>
              </c:ext>
            </c:extLst>
          </c:dPt>
          <c:dPt>
            <c:idx val="3"/>
            <c:invertIfNegative val="0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774C-4F5D-B6D2-0882330BFC6D}"/>
              </c:ext>
            </c:extLst>
          </c:dPt>
          <c:dPt>
            <c:idx val="4"/>
            <c:invertIfNegative val="0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774C-4F5D-B6D2-0882330BFC6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774C-4F5D-B6D2-0882330BFC6D}"/>
              </c:ext>
            </c:extLst>
          </c:dPt>
          <c:dPt>
            <c:idx val="6"/>
            <c:invertIfNegative val="0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774C-4F5D-B6D2-0882330BFC6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774C-4F5D-B6D2-0882330BFC6D}"/>
              </c:ext>
            </c:extLst>
          </c:dPt>
          <c:dPt>
            <c:idx val="8"/>
            <c:invertIfNegative val="0"/>
            <c:bubble3D val="0"/>
            <c:spPr>
              <a:solidFill>
                <a:srgbClr val="A0032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74C-4F5D-B6D2-0882330BFC6D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74C-4F5D-B6D2-0882330BFC6D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74C-4F5D-B6D2-0882330BFC6D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4C-4F5D-B6D2-0882330BFC6D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4C-4F5D-B6D2-0882330BFC6D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4C-4F5D-B6D2-0882330BFC6D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4C-4F5D-B6D2-0882330BFC6D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74C-4F5D-B6D2-0882330BFC6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74C-4F5D-B6D2-0882330BFC6D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74C-4F5D-B6D2-0882330BFC6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74C-4F5D-B6D2-0882330BFC6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74C-4F5D-B6D2-0882330BFC6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_ChartData!$H$2:$H$11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</c:strCache>
            </c:strRef>
          </c:cat>
          <c:val>
            <c:numRef>
              <c:f>_ChartData!$K$2:$K$11</c:f>
              <c:numCache>
                <c:formatCode>\$#,##0;"($"#,##0\)</c:formatCode>
                <c:ptCount val="10"/>
                <c:pt idx="0">
                  <c:v>506852</c:v>
                </c:pt>
                <c:pt idx="1">
                  <c:v>-141697</c:v>
                </c:pt>
                <c:pt idx="2">
                  <c:v>-53053</c:v>
                </c:pt>
                <c:pt idx="3">
                  <c:v>-93443</c:v>
                </c:pt>
                <c:pt idx="4">
                  <c:v>-32411</c:v>
                </c:pt>
                <c:pt idx="5">
                  <c:v>196277</c:v>
                </c:pt>
                <c:pt idx="6">
                  <c:v>-109065</c:v>
                </c:pt>
                <c:pt idx="7">
                  <c:v>345170</c:v>
                </c:pt>
                <c:pt idx="8">
                  <c:v>-413</c:v>
                </c:pt>
                <c:pt idx="9">
                  <c:v>298735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74C-4F5D-B6D2-0882330B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92669932"/>
        <c:axId val="26278576"/>
      </c:barChart>
      <c:catAx>
        <c:axId val="926699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278576"/>
        <c:crosses val="autoZero"/>
        <c:auto val="1"/>
        <c:lblAlgn val="ctr"/>
        <c:lblOffset val="100"/>
        <c:noMultiLvlLbl val="0"/>
      </c:catAx>
      <c:valAx>
        <c:axId val="26278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(Net)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6699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Budget Utilization by Fund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Dashboard!$I$11</c:f>
              <c:strCache>
                <c:ptCount val="1"/>
                <c:pt idx="0">
                  <c:v>Utilization</c:v>
                </c:pt>
              </c:strCache>
            </c:strRef>
          </c:tx>
          <c:spPr>
            <a:solidFill>
              <a:srgbClr val="B8860B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Dashboard!$B$12:$B$19</c:f>
              <c:strCache>
                <c:ptCount val="8"/>
                <c:pt idx="0">
                  <c:v>GF-001</c:v>
                </c:pt>
                <c:pt idx="1">
                  <c:v>FG-204</c:v>
                </c:pt>
                <c:pt idx="2">
                  <c:v>FG-315</c:v>
                </c:pt>
                <c:pt idx="3">
                  <c:v>TR-101</c:v>
                </c:pt>
                <c:pt idx="4">
                  <c:v>EV-050</c:v>
                </c:pt>
                <c:pt idx="5">
                  <c:v>CM-440</c:v>
                </c:pt>
                <c:pt idx="6">
                  <c:v>SG-112</c:v>
                </c:pt>
                <c:pt idx="7">
                  <c:v>OP-220</c:v>
                </c:pt>
              </c:strCache>
            </c:strRef>
          </c:cat>
          <c:val>
            <c:numRef>
              <c:f>Dashboard!$I$12:$I$19</c:f>
              <c:numCache>
                <c:formatCode>0.0%</c:formatCode>
                <c:ptCount val="8"/>
                <c:pt idx="0">
                  <c:v>0.25243840000000001</c:v>
                </c:pt>
                <c:pt idx="1">
                  <c:v>0.43321058823529413</c:v>
                </c:pt>
                <c:pt idx="2">
                  <c:v>0.44424838709677417</c:v>
                </c:pt>
                <c:pt idx="3">
                  <c:v>0.19716756756756756</c:v>
                </c:pt>
                <c:pt idx="4">
                  <c:v>1.6133833333333334</c:v>
                </c:pt>
                <c:pt idx="5">
                  <c:v>0.31220705882352939</c:v>
                </c:pt>
                <c:pt idx="6">
                  <c:v>0.78238086956521735</c:v>
                </c:pt>
                <c:pt idx="7">
                  <c:v>0.33482857142857142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29-4F4F-98BA-27F41A19E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4067764"/>
        <c:axId val="44813935"/>
      </c:barChart>
      <c:catAx>
        <c:axId val="3406776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Utilization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813935"/>
        <c:crosses val="autoZero"/>
        <c:auto val="1"/>
        <c:lblAlgn val="ctr"/>
        <c:lblOffset val="100"/>
        <c:noMultiLvlLbl val="0"/>
      </c:catAx>
      <c:valAx>
        <c:axId val="4481393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0677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Reconciliation Variance by Month ($0 target)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_ChartData!$N$1</c:f>
              <c:strCache>
                <c:ptCount val="1"/>
                <c:pt idx="0">
                  <c:v>Variance</c:v>
                </c:pt>
              </c:strCache>
            </c:strRef>
          </c:tx>
          <c:spPr>
            <a:ln w="28080">
              <a:solidFill>
                <a:srgbClr val="2D5F3F"/>
              </a:solidFill>
              <a:round/>
            </a:ln>
          </c:spPr>
          <c:marker>
            <c:symbol val="circle"/>
            <c:size val="6"/>
            <c:spPr>
              <a:solidFill>
                <a:srgbClr val="2D5F3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_ChartData!$M$2:$M$13</c:f>
              <c:strCache>
                <c:ptCount val="12"/>
                <c:pt idx="0">
                  <c:v>January 2025</c:v>
                </c:pt>
                <c:pt idx="1">
                  <c:v>February 2025</c:v>
                </c:pt>
                <c:pt idx="2">
                  <c:v>March 2025</c:v>
                </c:pt>
                <c:pt idx="3">
                  <c:v>April 2025</c:v>
                </c:pt>
                <c:pt idx="4">
                  <c:v>May 2025</c:v>
                </c:pt>
                <c:pt idx="5">
                  <c:v>June 2025</c:v>
                </c:pt>
                <c:pt idx="6">
                  <c:v>July 2025</c:v>
                </c:pt>
                <c:pt idx="7">
                  <c:v>August 2025</c:v>
                </c:pt>
                <c:pt idx="8">
                  <c:v>September 2025</c:v>
                </c:pt>
                <c:pt idx="9">
                  <c:v>October 2025</c:v>
                </c:pt>
                <c:pt idx="10">
                  <c:v>November 2025</c:v>
                </c:pt>
                <c:pt idx="11">
                  <c:v>December 2025</c:v>
                </c:pt>
              </c:strCache>
            </c:strRef>
          </c:cat>
          <c:val>
            <c:numRef>
              <c:f>_ChartData!$N$2:$N$13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E7-49B5-BA60-935F3ACAE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2686998"/>
        <c:axId val="93288442"/>
      </c:lineChart>
      <c:catAx>
        <c:axId val="826869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3288442"/>
        <c:crosses val="autoZero"/>
        <c:auto val="1"/>
        <c:lblAlgn val="ctr"/>
        <c:lblOffset val="100"/>
        <c:noMultiLvlLbl val="0"/>
      </c:catAx>
      <c:valAx>
        <c:axId val="932884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Variance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6869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10</xdr:col>
      <xdr:colOff>136080</xdr:colOff>
      <xdr:row>23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5</xdr:row>
      <xdr:rowOff>0</xdr:rowOff>
    </xdr:from>
    <xdr:to>
      <xdr:col>16</xdr:col>
      <xdr:colOff>90360</xdr:colOff>
      <xdr:row>23</xdr:row>
      <xdr:rowOff>170640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10</xdr:col>
      <xdr:colOff>136080</xdr:colOff>
      <xdr:row>45</xdr:row>
      <xdr:rowOff>170640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27</xdr:row>
      <xdr:rowOff>0</xdr:rowOff>
    </xdr:from>
    <xdr:to>
      <xdr:col>16</xdr:col>
      <xdr:colOff>90360</xdr:colOff>
      <xdr:row>45</xdr:row>
      <xdr:rowOff>170640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49</xdr:row>
      <xdr:rowOff>0</xdr:rowOff>
    </xdr:from>
    <xdr:to>
      <xdr:col>10</xdr:col>
      <xdr:colOff>136080</xdr:colOff>
      <xdr:row>67</xdr:row>
      <xdr:rowOff>170640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49</xdr:row>
      <xdr:rowOff>0</xdr:rowOff>
    </xdr:from>
    <xdr:to>
      <xdr:col>16</xdr:col>
      <xdr:colOff>90360</xdr:colOff>
      <xdr:row>67</xdr:row>
      <xdr:rowOff>170640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30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2" customWidth="1"/>
    <col min="3" max="3" width="34" customWidth="1"/>
    <col min="4" max="4" width="12" customWidth="1"/>
    <col min="5" max="8" width="18" customWidth="1"/>
    <col min="9" max="10" width="14" customWidth="1"/>
    <col min="11" max="11" width="2" customWidth="1"/>
  </cols>
  <sheetData>
    <row r="1" spans="2:10" ht="9.75" customHeight="1" x14ac:dyDescent="0.25"/>
    <row r="2" spans="2:10" ht="48" customHeight="1" x14ac:dyDescent="0.25">
      <c r="B2" s="61" t="s">
        <v>0</v>
      </c>
      <c r="C2" s="61"/>
      <c r="D2" s="61"/>
      <c r="E2" s="61"/>
      <c r="F2" s="61"/>
      <c r="G2" s="61"/>
      <c r="H2" s="61"/>
      <c r="I2" s="61"/>
      <c r="J2" s="61"/>
    </row>
    <row r="3" spans="2:10" ht="21.75" customHeight="1" x14ac:dyDescent="0.25">
      <c r="B3" s="62" t="s">
        <v>1</v>
      </c>
      <c r="C3" s="62"/>
      <c r="D3" s="62"/>
      <c r="E3" s="62"/>
      <c r="F3" s="62"/>
      <c r="G3" s="62"/>
      <c r="H3" s="62"/>
      <c r="I3" s="62"/>
      <c r="J3" s="62"/>
    </row>
    <row r="4" spans="2:10" ht="7.5" customHeight="1" x14ac:dyDescent="0.25"/>
    <row r="5" spans="2:10" ht="15.75" customHeight="1" x14ac:dyDescent="0.25">
      <c r="B5" s="63" t="s">
        <v>2</v>
      </c>
      <c r="C5" s="63"/>
      <c r="D5" s="63"/>
      <c r="E5" s="64" t="s">
        <v>3</v>
      </c>
      <c r="F5" s="64"/>
      <c r="G5" s="65" t="s">
        <v>4</v>
      </c>
      <c r="H5" s="65"/>
      <c r="I5" s="66" t="s">
        <v>5</v>
      </c>
      <c r="J5" s="66"/>
    </row>
    <row r="6" spans="2:10" ht="39.75" customHeight="1" x14ac:dyDescent="0.25">
      <c r="B6" s="67">
        <f>E20</f>
        <v>5520000</v>
      </c>
      <c r="C6" s="67"/>
      <c r="D6" s="67"/>
      <c r="E6" s="68">
        <f>G20</f>
        <v>2453048</v>
      </c>
      <c r="F6" s="68"/>
      <c r="G6" s="69">
        <f>H20</f>
        <v>6436952</v>
      </c>
      <c r="H6" s="69"/>
      <c r="I6" s="70" t="str">
        <f>IF(SUMPRODUCT(--(Reconciliation!G5:G16&lt;&gt;0))=0,"ALL CLEAN","REVIEW")</f>
        <v>ALL CLEAN</v>
      </c>
      <c r="J6" s="70"/>
    </row>
    <row r="7" spans="2:10" ht="21.75" customHeight="1" x14ac:dyDescent="0.25">
      <c r="B7" s="71" t="s">
        <v>6</v>
      </c>
      <c r="C7" s="71"/>
      <c r="D7" s="71"/>
      <c r="E7" s="72" t="s">
        <v>7</v>
      </c>
      <c r="F7" s="72"/>
      <c r="G7" s="73" t="s">
        <v>8</v>
      </c>
      <c r="H7" s="73"/>
      <c r="I7" s="74" t="s">
        <v>9</v>
      </c>
      <c r="J7" s="74"/>
    </row>
    <row r="8" spans="2:10" ht="12" customHeight="1" x14ac:dyDescent="0.25"/>
    <row r="9" spans="2:10" ht="12" customHeight="1" x14ac:dyDescent="0.25"/>
    <row r="10" spans="2:10" ht="30" customHeight="1" x14ac:dyDescent="0.25">
      <c r="B10" s="77" t="s">
        <v>10</v>
      </c>
      <c r="C10" s="77"/>
      <c r="D10" s="77"/>
      <c r="E10" s="77"/>
      <c r="F10" s="77"/>
      <c r="G10" s="77"/>
      <c r="H10" s="77"/>
      <c r="I10" s="77"/>
      <c r="J10" s="77"/>
    </row>
    <row r="11" spans="2:10" ht="21.75" customHeight="1" x14ac:dyDescent="0.25">
      <c r="B11" s="1" t="s">
        <v>11</v>
      </c>
      <c r="C11" s="2" t="s">
        <v>12</v>
      </c>
      <c r="D11" s="3" t="s">
        <v>13</v>
      </c>
      <c r="E11" s="3" t="s">
        <v>14</v>
      </c>
      <c r="F11" s="3" t="s">
        <v>15</v>
      </c>
      <c r="G11" s="3" t="s">
        <v>16</v>
      </c>
      <c r="H11" s="3" t="s">
        <v>17</v>
      </c>
      <c r="I11" s="3" t="s">
        <v>18</v>
      </c>
      <c r="J11" s="3" t="s">
        <v>19</v>
      </c>
    </row>
    <row r="12" spans="2:10" ht="19.5" customHeight="1" x14ac:dyDescent="0.25">
      <c r="B12" s="4" t="s">
        <v>20</v>
      </c>
      <c r="C12" s="5" t="s">
        <v>21</v>
      </c>
      <c r="D12" s="6" t="s">
        <v>22</v>
      </c>
      <c r="E12" s="7">
        <v>1250000</v>
      </c>
      <c r="F12" s="8">
        <f>SUMIFS(Transactions!F:F,Transactions!C:C,B12,Transactions!E:E,"Inflow")</f>
        <v>668000</v>
      </c>
      <c r="G12" s="8">
        <f>SUMIFS(Transactions!F:F,Transactions!C:C,B12,Transactions!E:E,"Outflow")</f>
        <v>315548</v>
      </c>
      <c r="H12" s="8">
        <f t="shared" ref="H12:H19" si="0">E12+F12-G12</f>
        <v>1602452</v>
      </c>
      <c r="I12" s="9">
        <f t="shared" ref="I12:I20" si="1">IFERROR(G12/E12,0)</f>
        <v>0.25243840000000001</v>
      </c>
      <c r="J12" s="10" t="str">
        <f t="shared" ref="J12:J19" si="2">IF(I12&gt;1,"Over Budget",IF(I12&gt;0.85,"Review",IF(I12&gt;0.6,"Monitor","On Track")))</f>
        <v>On Track</v>
      </c>
    </row>
    <row r="13" spans="2:10" ht="19.5" customHeight="1" x14ac:dyDescent="0.25">
      <c r="B13" s="11" t="s">
        <v>23</v>
      </c>
      <c r="C13" s="12" t="s">
        <v>24</v>
      </c>
      <c r="D13" s="13" t="s">
        <v>25</v>
      </c>
      <c r="E13" s="14">
        <v>850000</v>
      </c>
      <c r="F13" s="15">
        <f>SUMIFS(Transactions!F:F,Transactions!C:C,B13,Transactions!E:E,"Inflow")</f>
        <v>370000</v>
      </c>
      <c r="G13" s="15">
        <f>SUMIFS(Transactions!F:F,Transactions!C:C,B13,Transactions!E:E,"Outflow")</f>
        <v>368229</v>
      </c>
      <c r="H13" s="15">
        <f t="shared" si="0"/>
        <v>851771</v>
      </c>
      <c r="I13" s="16">
        <f t="shared" si="1"/>
        <v>0.43321058823529413</v>
      </c>
      <c r="J13" s="17" t="str">
        <f t="shared" si="2"/>
        <v>On Track</v>
      </c>
    </row>
    <row r="14" spans="2:10" ht="19.5" customHeight="1" x14ac:dyDescent="0.25">
      <c r="B14" s="4" t="s">
        <v>26</v>
      </c>
      <c r="C14" s="5" t="s">
        <v>27</v>
      </c>
      <c r="D14" s="6" t="s">
        <v>25</v>
      </c>
      <c r="E14" s="7">
        <v>620000</v>
      </c>
      <c r="F14" s="8">
        <f>SUMIFS(Transactions!F:F,Transactions!C:C,B14,Transactions!E:E,"Inflow")</f>
        <v>260000</v>
      </c>
      <c r="G14" s="8">
        <f>SUMIFS(Transactions!F:F,Transactions!C:C,B14,Transactions!E:E,"Outflow")</f>
        <v>275434</v>
      </c>
      <c r="H14" s="8">
        <f t="shared" si="0"/>
        <v>604566</v>
      </c>
      <c r="I14" s="9">
        <f t="shared" si="1"/>
        <v>0.44424838709677417</v>
      </c>
      <c r="J14" s="10" t="str">
        <f t="shared" si="2"/>
        <v>On Track</v>
      </c>
    </row>
    <row r="15" spans="2:10" ht="19.5" customHeight="1" x14ac:dyDescent="0.25">
      <c r="B15" s="11" t="s">
        <v>28</v>
      </c>
      <c r="C15" s="12" t="s">
        <v>29</v>
      </c>
      <c r="D15" s="13" t="s">
        <v>22</v>
      </c>
      <c r="E15" s="14">
        <v>185000</v>
      </c>
      <c r="F15" s="15">
        <f>SUMIFS(Transactions!F:F,Transactions!C:C,B15,Transactions!E:E,"Inflow")</f>
        <v>115000</v>
      </c>
      <c r="G15" s="15">
        <f>SUMIFS(Transactions!F:F,Transactions!C:C,B15,Transactions!E:E,"Outflow")</f>
        <v>36476</v>
      </c>
      <c r="H15" s="15">
        <f t="shared" si="0"/>
        <v>263524</v>
      </c>
      <c r="I15" s="16">
        <f t="shared" si="1"/>
        <v>0.19716756756756756</v>
      </c>
      <c r="J15" s="17" t="str">
        <f t="shared" si="2"/>
        <v>On Track</v>
      </c>
    </row>
    <row r="16" spans="2:10" ht="19.5" customHeight="1" x14ac:dyDescent="0.25">
      <c r="B16" s="4" t="s">
        <v>30</v>
      </c>
      <c r="C16" s="5" t="s">
        <v>31</v>
      </c>
      <c r="D16" s="6" t="s">
        <v>32</v>
      </c>
      <c r="E16" s="7">
        <v>60000</v>
      </c>
      <c r="F16" s="8">
        <f>SUMIFS(Transactions!F:F,Transactions!C:C,B16,Transactions!E:E,"Inflow")</f>
        <v>67000</v>
      </c>
      <c r="G16" s="8">
        <f>SUMIFS(Transactions!F:F,Transactions!C:C,B16,Transactions!E:E,"Outflow")</f>
        <v>96803</v>
      </c>
      <c r="H16" s="8">
        <f t="shared" si="0"/>
        <v>30197</v>
      </c>
      <c r="I16" s="9">
        <f t="shared" si="1"/>
        <v>1.6133833333333334</v>
      </c>
      <c r="J16" s="10" t="str">
        <f t="shared" si="2"/>
        <v>Over Budget</v>
      </c>
    </row>
    <row r="17" spans="2:10" ht="19.5" customHeight="1" x14ac:dyDescent="0.25">
      <c r="B17" s="11" t="s">
        <v>33</v>
      </c>
      <c r="C17" s="12" t="s">
        <v>34</v>
      </c>
      <c r="D17" s="13" t="s">
        <v>22</v>
      </c>
      <c r="E17" s="14">
        <v>425000</v>
      </c>
      <c r="F17" s="15">
        <f>SUMIFS(Transactions!F:F,Transactions!C:C,B17,Transactions!E:E,"Inflow")</f>
        <v>195000</v>
      </c>
      <c r="G17" s="15">
        <f>SUMIFS(Transactions!F:F,Transactions!C:C,B17,Transactions!E:E,"Outflow")</f>
        <v>132688</v>
      </c>
      <c r="H17" s="15">
        <f t="shared" si="0"/>
        <v>487312</v>
      </c>
      <c r="I17" s="16">
        <f t="shared" si="1"/>
        <v>0.31220705882352939</v>
      </c>
      <c r="J17" s="17" t="str">
        <f t="shared" si="2"/>
        <v>On Track</v>
      </c>
    </row>
    <row r="18" spans="2:10" ht="19.5" customHeight="1" x14ac:dyDescent="0.25">
      <c r="B18" s="4" t="s">
        <v>35</v>
      </c>
      <c r="C18" s="5" t="s">
        <v>36</v>
      </c>
      <c r="D18" s="6" t="s">
        <v>25</v>
      </c>
      <c r="E18" s="7">
        <v>1150000</v>
      </c>
      <c r="F18" s="8">
        <f>SUMIFS(Transactions!F:F,Transactions!C:C,B18,Transactions!E:E,"Inflow")</f>
        <v>1140000</v>
      </c>
      <c r="G18" s="8">
        <f>SUMIFS(Transactions!F:F,Transactions!C:C,B18,Transactions!E:E,"Outflow")</f>
        <v>899738</v>
      </c>
      <c r="H18" s="8">
        <f t="shared" si="0"/>
        <v>1390262</v>
      </c>
      <c r="I18" s="9">
        <f t="shared" si="1"/>
        <v>0.78238086956521735</v>
      </c>
      <c r="J18" s="10" t="str">
        <f t="shared" si="2"/>
        <v>Monitor</v>
      </c>
    </row>
    <row r="19" spans="2:10" ht="19.5" customHeight="1" x14ac:dyDescent="0.25">
      <c r="B19" s="11" t="s">
        <v>37</v>
      </c>
      <c r="C19" s="12" t="s">
        <v>38</v>
      </c>
      <c r="D19" s="13" t="s">
        <v>22</v>
      </c>
      <c r="E19" s="14">
        <v>980000</v>
      </c>
      <c r="F19" s="15">
        <f>SUMIFS(Transactions!F:F,Transactions!C:C,B19,Transactions!E:E,"Inflow")</f>
        <v>555000</v>
      </c>
      <c r="G19" s="15">
        <f>SUMIFS(Transactions!F:F,Transactions!C:C,B19,Transactions!E:E,"Outflow")</f>
        <v>328132</v>
      </c>
      <c r="H19" s="15">
        <f t="shared" si="0"/>
        <v>1206868</v>
      </c>
      <c r="I19" s="16">
        <f t="shared" si="1"/>
        <v>0.33482857142857142</v>
      </c>
      <c r="J19" s="17" t="str">
        <f t="shared" si="2"/>
        <v>On Track</v>
      </c>
    </row>
    <row r="20" spans="2:10" ht="25.5" customHeight="1" x14ac:dyDescent="0.25">
      <c r="B20" s="18" t="s">
        <v>39</v>
      </c>
      <c r="C20" s="78"/>
      <c r="D20" s="78"/>
      <c r="E20" s="19">
        <f>SUM(E12:E19)</f>
        <v>5520000</v>
      </c>
      <c r="F20" s="19">
        <f>SUM(F12:F19)</f>
        <v>3370000</v>
      </c>
      <c r="G20" s="19">
        <f>SUM(G12:G19)</f>
        <v>2453048</v>
      </c>
      <c r="H20" s="19">
        <f>SUM(H12:H19)</f>
        <v>6436952</v>
      </c>
      <c r="I20" s="20">
        <f t="shared" si="1"/>
        <v>0.44439275362318842</v>
      </c>
      <c r="J20" s="21" t="str">
        <f>IF(I20&gt;1,"Over","OK")</f>
        <v>OK</v>
      </c>
    </row>
    <row r="22" spans="2:10" ht="13.5" customHeight="1" x14ac:dyDescent="0.25"/>
    <row r="23" spans="2:10" ht="27.75" customHeight="1" x14ac:dyDescent="0.25">
      <c r="B23" s="77" t="s">
        <v>40</v>
      </c>
      <c r="C23" s="77"/>
      <c r="D23" s="77"/>
      <c r="E23" s="77"/>
      <c r="F23" s="77"/>
      <c r="G23" s="77"/>
      <c r="H23" s="77"/>
      <c r="I23" s="77"/>
      <c r="J23" s="77"/>
    </row>
    <row r="24" spans="2:10" ht="21.75" customHeight="1" x14ac:dyDescent="0.25">
      <c r="B24" s="75" t="s">
        <v>41</v>
      </c>
      <c r="C24" s="75"/>
      <c r="D24" s="75"/>
      <c r="E24" s="75"/>
      <c r="F24" s="75"/>
      <c r="G24" s="75"/>
      <c r="H24" s="75"/>
      <c r="I24" s="75"/>
      <c r="J24" s="75"/>
    </row>
    <row r="25" spans="2:10" ht="21.75" customHeight="1" x14ac:dyDescent="0.25">
      <c r="B25" s="76" t="s">
        <v>42</v>
      </c>
      <c r="C25" s="76"/>
      <c r="D25" s="76"/>
      <c r="E25" s="76"/>
      <c r="F25" s="76"/>
      <c r="G25" s="76"/>
      <c r="H25" s="76"/>
      <c r="I25" s="76"/>
      <c r="J25" s="76"/>
    </row>
    <row r="26" spans="2:10" ht="21.75" customHeight="1" x14ac:dyDescent="0.25">
      <c r="B26" s="75" t="s">
        <v>43</v>
      </c>
      <c r="C26" s="75"/>
      <c r="D26" s="75"/>
      <c r="E26" s="75"/>
      <c r="F26" s="75"/>
      <c r="G26" s="75"/>
      <c r="H26" s="75"/>
      <c r="I26" s="75"/>
      <c r="J26" s="75"/>
    </row>
    <row r="27" spans="2:10" ht="21.75" customHeight="1" x14ac:dyDescent="0.25">
      <c r="B27" s="76" t="s">
        <v>44</v>
      </c>
      <c r="C27" s="76"/>
      <c r="D27" s="76"/>
      <c r="E27" s="76"/>
      <c r="F27" s="76"/>
      <c r="G27" s="76"/>
      <c r="H27" s="76"/>
      <c r="I27" s="76"/>
      <c r="J27" s="76"/>
    </row>
    <row r="29" spans="2:10" ht="18" customHeight="1" x14ac:dyDescent="0.25">
      <c r="B29" s="57" t="s">
        <v>45</v>
      </c>
      <c r="C29" s="57"/>
      <c r="D29" s="57"/>
      <c r="E29" s="57"/>
      <c r="F29" s="57"/>
      <c r="G29" s="57"/>
      <c r="H29" s="57"/>
      <c r="I29" s="57"/>
      <c r="J29" s="57"/>
    </row>
    <row r="30" spans="2:10" ht="15.75" customHeight="1" x14ac:dyDescent="0.25">
      <c r="B30" s="58" t="s">
        <v>46</v>
      </c>
      <c r="C30" s="58"/>
      <c r="D30" s="58"/>
      <c r="E30" s="58"/>
      <c r="F30" s="58"/>
      <c r="G30" s="58"/>
      <c r="H30" s="58"/>
      <c r="I30" s="58"/>
      <c r="J30" s="58"/>
    </row>
  </sheetData>
  <mergeCells count="23">
    <mergeCell ref="B26:J26"/>
    <mergeCell ref="B27:J27"/>
    <mergeCell ref="B29:J29"/>
    <mergeCell ref="B30:J30"/>
    <mergeCell ref="B10:J10"/>
    <mergeCell ref="C20:D20"/>
    <mergeCell ref="B23:J23"/>
    <mergeCell ref="B24:J24"/>
    <mergeCell ref="B25:J25"/>
    <mergeCell ref="B6:D6"/>
    <mergeCell ref="E6:F6"/>
    <mergeCell ref="G6:H6"/>
    <mergeCell ref="I6:J6"/>
    <mergeCell ref="B7:D7"/>
    <mergeCell ref="E7:F7"/>
    <mergeCell ref="G7:H7"/>
    <mergeCell ref="I7:J7"/>
    <mergeCell ref="B2:J2"/>
    <mergeCell ref="B3:J3"/>
    <mergeCell ref="B5:D5"/>
    <mergeCell ref="E5:F5"/>
    <mergeCell ref="G5:H5"/>
    <mergeCell ref="I5:J5"/>
  </mergeCells>
  <conditionalFormatting sqref="J12:J19">
    <cfRule type="expression" dxfId="5" priority="2">
      <formula>EXACT(J12,"Over Budget")</formula>
    </cfRule>
    <cfRule type="expression" dxfId="4" priority="3">
      <formula>EXACT(J12,"Review")</formula>
    </cfRule>
    <cfRule type="expression" dxfId="3" priority="4">
      <formula>EXACT(J12,"Monitor")</formula>
    </cfRule>
    <cfRule type="expression" dxfId="2" priority="5">
      <formula>EXACT(J12,"On Track")</formula>
    </cfRule>
  </conditionalFormatting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I1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2" customWidth="1"/>
    <col min="3" max="3" width="36" customWidth="1"/>
    <col min="4" max="4" width="12" customWidth="1"/>
    <col min="5" max="6" width="14" customWidth="1"/>
    <col min="7" max="7" width="18" customWidth="1"/>
    <col min="8" max="8" width="12" customWidth="1"/>
    <col min="9" max="9" width="14" customWidth="1"/>
    <col min="10" max="10" width="2" customWidth="1"/>
  </cols>
  <sheetData>
    <row r="1" spans="2:9" ht="31.5" customHeight="1" x14ac:dyDescent="0.25">
      <c r="B1" s="79" t="s">
        <v>47</v>
      </c>
      <c r="C1" s="79"/>
      <c r="D1" s="79"/>
      <c r="E1" s="79"/>
      <c r="F1" s="79"/>
      <c r="G1" s="79"/>
      <c r="H1" s="79"/>
      <c r="I1" s="79"/>
    </row>
    <row r="2" spans="2:9" ht="6" customHeight="1" x14ac:dyDescent="0.25"/>
    <row r="3" spans="2:9" ht="27.75" customHeight="1" x14ac:dyDescent="0.25">
      <c r="B3" s="22" t="s">
        <v>11</v>
      </c>
      <c r="C3" s="23" t="s">
        <v>12</v>
      </c>
      <c r="D3" s="22" t="s">
        <v>13</v>
      </c>
      <c r="E3" s="22" t="s">
        <v>48</v>
      </c>
      <c r="F3" s="22" t="s">
        <v>49</v>
      </c>
      <c r="G3" s="22" t="s">
        <v>50</v>
      </c>
      <c r="H3" s="22" t="s">
        <v>19</v>
      </c>
      <c r="I3" s="22" t="s">
        <v>51</v>
      </c>
    </row>
    <row r="4" spans="2:9" ht="21.75" customHeight="1" x14ac:dyDescent="0.25">
      <c r="B4" s="24" t="s">
        <v>20</v>
      </c>
      <c r="C4" s="5" t="s">
        <v>21</v>
      </c>
      <c r="D4" s="6" t="s">
        <v>22</v>
      </c>
      <c r="E4" s="25">
        <v>45474</v>
      </c>
      <c r="F4" s="25">
        <v>45838</v>
      </c>
      <c r="G4" s="7">
        <v>1250000</v>
      </c>
      <c r="H4" s="10" t="s">
        <v>52</v>
      </c>
      <c r="I4" s="6" t="s">
        <v>53</v>
      </c>
    </row>
    <row r="5" spans="2:9" ht="21.75" customHeight="1" x14ac:dyDescent="0.25">
      <c r="B5" s="26" t="s">
        <v>23</v>
      </c>
      <c r="C5" s="12" t="s">
        <v>24</v>
      </c>
      <c r="D5" s="13" t="s">
        <v>25</v>
      </c>
      <c r="E5" s="27">
        <v>45566</v>
      </c>
      <c r="F5" s="27">
        <v>45930</v>
      </c>
      <c r="G5" s="14">
        <v>850000</v>
      </c>
      <c r="H5" s="17" t="s">
        <v>52</v>
      </c>
      <c r="I5" s="13" t="s">
        <v>53</v>
      </c>
    </row>
    <row r="6" spans="2:9" ht="21.75" customHeight="1" x14ac:dyDescent="0.25">
      <c r="B6" s="24" t="s">
        <v>26</v>
      </c>
      <c r="C6" s="5" t="s">
        <v>27</v>
      </c>
      <c r="D6" s="6" t="s">
        <v>25</v>
      </c>
      <c r="E6" s="25">
        <v>45566</v>
      </c>
      <c r="F6" s="25">
        <v>45930</v>
      </c>
      <c r="G6" s="7">
        <v>620000</v>
      </c>
      <c r="H6" s="10" t="s">
        <v>52</v>
      </c>
      <c r="I6" s="6" t="s">
        <v>53</v>
      </c>
    </row>
    <row r="7" spans="2:9" ht="21.75" customHeight="1" x14ac:dyDescent="0.25">
      <c r="B7" s="26" t="s">
        <v>28</v>
      </c>
      <c r="C7" s="12" t="s">
        <v>29</v>
      </c>
      <c r="D7" s="13" t="s">
        <v>22</v>
      </c>
      <c r="E7" s="27">
        <v>45474</v>
      </c>
      <c r="F7" s="27">
        <v>45838</v>
      </c>
      <c r="G7" s="14">
        <v>185000</v>
      </c>
      <c r="H7" s="17" t="s">
        <v>52</v>
      </c>
      <c r="I7" s="13" t="s">
        <v>53</v>
      </c>
    </row>
    <row r="8" spans="2:9" ht="21.75" customHeight="1" x14ac:dyDescent="0.25">
      <c r="B8" s="24" t="s">
        <v>30</v>
      </c>
      <c r="C8" s="5" t="s">
        <v>31</v>
      </c>
      <c r="D8" s="6" t="s">
        <v>32</v>
      </c>
      <c r="E8" s="25">
        <v>45474</v>
      </c>
      <c r="F8" s="25">
        <v>45838</v>
      </c>
      <c r="G8" s="7">
        <v>60000</v>
      </c>
      <c r="H8" s="10" t="s">
        <v>52</v>
      </c>
      <c r="I8" s="6" t="s">
        <v>53</v>
      </c>
    </row>
    <row r="9" spans="2:9" ht="21.75" customHeight="1" x14ac:dyDescent="0.25">
      <c r="B9" s="26" t="s">
        <v>33</v>
      </c>
      <c r="C9" s="12" t="s">
        <v>34</v>
      </c>
      <c r="D9" s="13" t="s">
        <v>22</v>
      </c>
      <c r="E9" s="27">
        <v>45474</v>
      </c>
      <c r="F9" s="27">
        <v>45838</v>
      </c>
      <c r="G9" s="14">
        <v>425000</v>
      </c>
      <c r="H9" s="17" t="s">
        <v>52</v>
      </c>
      <c r="I9" s="13" t="s">
        <v>53</v>
      </c>
    </row>
    <row r="10" spans="2:9" ht="21.75" customHeight="1" x14ac:dyDescent="0.25">
      <c r="B10" s="24" t="s">
        <v>35</v>
      </c>
      <c r="C10" s="5" t="s">
        <v>36</v>
      </c>
      <c r="D10" s="6" t="s">
        <v>25</v>
      </c>
      <c r="E10" s="25">
        <v>45566</v>
      </c>
      <c r="F10" s="25">
        <v>45930</v>
      </c>
      <c r="G10" s="7">
        <v>1150000</v>
      </c>
      <c r="H10" s="10" t="s">
        <v>52</v>
      </c>
      <c r="I10" s="6" t="s">
        <v>53</v>
      </c>
    </row>
    <row r="11" spans="2:9" ht="21.75" customHeight="1" x14ac:dyDescent="0.25">
      <c r="B11" s="26" t="s">
        <v>37</v>
      </c>
      <c r="C11" s="12" t="s">
        <v>38</v>
      </c>
      <c r="D11" s="13" t="s">
        <v>22</v>
      </c>
      <c r="E11" s="27">
        <v>45474</v>
      </c>
      <c r="F11" s="27">
        <v>45838</v>
      </c>
      <c r="G11" s="14">
        <v>980000</v>
      </c>
      <c r="H11" s="17" t="s">
        <v>52</v>
      </c>
      <c r="I11" s="13" t="s">
        <v>53</v>
      </c>
    </row>
    <row r="14" spans="2:9" ht="18" customHeight="1" x14ac:dyDescent="0.25">
      <c r="B14" s="57" t="s">
        <v>45</v>
      </c>
      <c r="C14" s="57"/>
      <c r="D14" s="57"/>
      <c r="E14" s="57"/>
      <c r="F14" s="57"/>
      <c r="G14" s="57"/>
      <c r="H14" s="57"/>
      <c r="I14" s="57"/>
    </row>
  </sheetData>
  <mergeCells count="2">
    <mergeCell ref="B1:I1"/>
    <mergeCell ref="B14:I14"/>
  </mergeCells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I146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2" customWidth="1"/>
    <col min="2" max="2" width="12" customWidth="1"/>
    <col min="3" max="3" width="10" customWidth="1"/>
    <col min="4" max="4" width="26" customWidth="1"/>
    <col min="5" max="5" width="11" customWidth="1"/>
    <col min="6" max="6" width="13" customWidth="1"/>
    <col min="7" max="7" width="24" customWidth="1"/>
    <col min="8" max="8" width="22" customWidth="1"/>
    <col min="9" max="9" width="20" customWidth="1"/>
    <col min="10" max="10" width="2" customWidth="1"/>
  </cols>
  <sheetData>
    <row r="1" spans="2:9" ht="31.5" customHeight="1" x14ac:dyDescent="0.25">
      <c r="B1" s="79" t="s">
        <v>54</v>
      </c>
      <c r="C1" s="79"/>
      <c r="D1" s="79"/>
      <c r="E1" s="79"/>
      <c r="F1" s="79"/>
      <c r="G1" s="79"/>
      <c r="H1" s="79"/>
      <c r="I1" s="79"/>
    </row>
    <row r="2" spans="2:9" ht="6" customHeight="1" x14ac:dyDescent="0.25"/>
    <row r="3" spans="2:9" ht="27.75" customHeight="1" x14ac:dyDescent="0.25">
      <c r="B3" s="22" t="s">
        <v>55</v>
      </c>
      <c r="C3" s="22" t="s">
        <v>56</v>
      </c>
      <c r="D3" s="22" t="s">
        <v>57</v>
      </c>
      <c r="E3" s="22" t="s">
        <v>58</v>
      </c>
      <c r="F3" s="22" t="s">
        <v>59</v>
      </c>
      <c r="G3" s="22" t="s">
        <v>13</v>
      </c>
      <c r="H3" s="22" t="s">
        <v>60</v>
      </c>
      <c r="I3" s="22" t="s">
        <v>61</v>
      </c>
    </row>
    <row r="4" spans="2:9" ht="18" customHeight="1" x14ac:dyDescent="0.25">
      <c r="B4" s="28">
        <v>45672</v>
      </c>
      <c r="C4" s="29" t="s">
        <v>23</v>
      </c>
      <c r="D4" s="30" t="s">
        <v>62</v>
      </c>
      <c r="E4" s="29" t="s">
        <v>63</v>
      </c>
      <c r="F4" s="31">
        <v>18365</v>
      </c>
      <c r="G4" s="30" t="s">
        <v>62</v>
      </c>
      <c r="H4" s="32" t="s">
        <v>64</v>
      </c>
      <c r="I4" s="33" t="s">
        <v>65</v>
      </c>
    </row>
    <row r="5" spans="2:9" ht="18" customHeight="1" x14ac:dyDescent="0.25">
      <c r="B5" s="34">
        <v>45672</v>
      </c>
      <c r="C5" s="35" t="s">
        <v>26</v>
      </c>
      <c r="D5" s="36" t="s">
        <v>66</v>
      </c>
      <c r="E5" s="37" t="s">
        <v>67</v>
      </c>
      <c r="F5" s="38">
        <v>75000</v>
      </c>
      <c r="G5" s="36" t="s">
        <v>66</v>
      </c>
      <c r="H5" s="39" t="s">
        <v>68</v>
      </c>
      <c r="I5" s="40" t="s">
        <v>69</v>
      </c>
    </row>
    <row r="6" spans="2:9" ht="18" customHeight="1" x14ac:dyDescent="0.25">
      <c r="B6" s="28">
        <v>45672</v>
      </c>
      <c r="C6" s="29" t="s">
        <v>20</v>
      </c>
      <c r="D6" s="30" t="s">
        <v>70</v>
      </c>
      <c r="E6" s="41" t="s">
        <v>67</v>
      </c>
      <c r="F6" s="31">
        <v>125000</v>
      </c>
      <c r="G6" s="30" t="s">
        <v>70</v>
      </c>
      <c r="H6" s="32" t="s">
        <v>71</v>
      </c>
      <c r="I6" s="33" t="s">
        <v>72</v>
      </c>
    </row>
    <row r="7" spans="2:9" ht="18" customHeight="1" x14ac:dyDescent="0.25">
      <c r="B7" s="34">
        <v>45685</v>
      </c>
      <c r="C7" s="35" t="s">
        <v>33</v>
      </c>
      <c r="D7" s="36" t="s">
        <v>73</v>
      </c>
      <c r="E7" s="35" t="s">
        <v>63</v>
      </c>
      <c r="F7" s="38">
        <v>13776</v>
      </c>
      <c r="G7" s="36" t="s">
        <v>73</v>
      </c>
      <c r="H7" s="39" t="s">
        <v>74</v>
      </c>
      <c r="I7" s="40" t="s">
        <v>75</v>
      </c>
    </row>
    <row r="8" spans="2:9" ht="18" customHeight="1" x14ac:dyDescent="0.25">
      <c r="B8" s="28">
        <v>45685</v>
      </c>
      <c r="C8" s="29" t="s">
        <v>33</v>
      </c>
      <c r="D8" s="30" t="s">
        <v>73</v>
      </c>
      <c r="E8" s="29" t="s">
        <v>63</v>
      </c>
      <c r="F8" s="31">
        <v>31441</v>
      </c>
      <c r="G8" s="30" t="s">
        <v>73</v>
      </c>
      <c r="H8" s="32" t="s">
        <v>74</v>
      </c>
      <c r="I8" s="33" t="s">
        <v>75</v>
      </c>
    </row>
    <row r="9" spans="2:9" ht="18" customHeight="1" x14ac:dyDescent="0.25">
      <c r="B9" s="34">
        <v>45685</v>
      </c>
      <c r="C9" s="35" t="s">
        <v>30</v>
      </c>
      <c r="D9" s="36" t="s">
        <v>76</v>
      </c>
      <c r="E9" s="37" t="s">
        <v>67</v>
      </c>
      <c r="F9" s="38">
        <v>12000</v>
      </c>
      <c r="G9" s="36" t="s">
        <v>76</v>
      </c>
      <c r="H9" s="39" t="s">
        <v>77</v>
      </c>
      <c r="I9" s="40" t="s">
        <v>78</v>
      </c>
    </row>
    <row r="10" spans="2:9" ht="18" customHeight="1" x14ac:dyDescent="0.25">
      <c r="B10" s="28">
        <v>45685</v>
      </c>
      <c r="C10" s="29" t="s">
        <v>30</v>
      </c>
      <c r="D10" s="30" t="s">
        <v>79</v>
      </c>
      <c r="E10" s="29" t="s">
        <v>63</v>
      </c>
      <c r="F10" s="31">
        <v>11506</v>
      </c>
      <c r="G10" s="30" t="s">
        <v>79</v>
      </c>
      <c r="H10" s="32" t="s">
        <v>80</v>
      </c>
      <c r="I10" s="33" t="s">
        <v>81</v>
      </c>
    </row>
    <row r="11" spans="2:9" ht="18" customHeight="1" x14ac:dyDescent="0.25">
      <c r="B11" s="34">
        <v>45685</v>
      </c>
      <c r="C11" s="35" t="s">
        <v>30</v>
      </c>
      <c r="D11" s="36" t="s">
        <v>79</v>
      </c>
      <c r="E11" s="35" t="s">
        <v>63</v>
      </c>
      <c r="F11" s="38">
        <v>8060</v>
      </c>
      <c r="G11" s="36" t="s">
        <v>79</v>
      </c>
      <c r="H11" s="39" t="s">
        <v>80</v>
      </c>
      <c r="I11" s="40" t="s">
        <v>81</v>
      </c>
    </row>
    <row r="12" spans="2:9" ht="18" customHeight="1" x14ac:dyDescent="0.25">
      <c r="B12" s="28">
        <v>45685</v>
      </c>
      <c r="C12" s="29" t="s">
        <v>20</v>
      </c>
      <c r="D12" s="30" t="s">
        <v>82</v>
      </c>
      <c r="E12" s="41" t="s">
        <v>67</v>
      </c>
      <c r="F12" s="31">
        <v>88000</v>
      </c>
      <c r="G12" s="30" t="s">
        <v>82</v>
      </c>
      <c r="H12" s="32" t="s">
        <v>83</v>
      </c>
      <c r="I12" s="33" t="s">
        <v>84</v>
      </c>
    </row>
    <row r="13" spans="2:9" ht="18" customHeight="1" x14ac:dyDescent="0.25">
      <c r="B13" s="34">
        <v>45685</v>
      </c>
      <c r="C13" s="35" t="s">
        <v>35</v>
      </c>
      <c r="D13" s="36" t="s">
        <v>66</v>
      </c>
      <c r="E13" s="37" t="s">
        <v>67</v>
      </c>
      <c r="F13" s="38">
        <v>290000</v>
      </c>
      <c r="G13" s="36" t="s">
        <v>66</v>
      </c>
      <c r="H13" s="39" t="s">
        <v>68</v>
      </c>
      <c r="I13" s="40" t="s">
        <v>69</v>
      </c>
    </row>
    <row r="14" spans="2:9" ht="18" customHeight="1" x14ac:dyDescent="0.25">
      <c r="B14" s="28">
        <v>45698</v>
      </c>
      <c r="C14" s="29" t="s">
        <v>30</v>
      </c>
      <c r="D14" s="30" t="s">
        <v>85</v>
      </c>
      <c r="E14" s="41" t="s">
        <v>67</v>
      </c>
      <c r="F14" s="31">
        <v>15000</v>
      </c>
      <c r="G14" s="30" t="s">
        <v>85</v>
      </c>
      <c r="H14" s="32" t="s">
        <v>86</v>
      </c>
      <c r="I14" s="33" t="s">
        <v>87</v>
      </c>
    </row>
    <row r="15" spans="2:9" ht="18" customHeight="1" x14ac:dyDescent="0.25">
      <c r="B15" s="34">
        <v>45698</v>
      </c>
      <c r="C15" s="35" t="s">
        <v>30</v>
      </c>
      <c r="D15" s="36" t="s">
        <v>88</v>
      </c>
      <c r="E15" s="35" t="s">
        <v>63</v>
      </c>
      <c r="F15" s="38">
        <v>8379</v>
      </c>
      <c r="G15" s="36" t="s">
        <v>88</v>
      </c>
      <c r="H15" s="39" t="s">
        <v>89</v>
      </c>
      <c r="I15" s="40" t="s">
        <v>90</v>
      </c>
    </row>
    <row r="16" spans="2:9" ht="18" customHeight="1" x14ac:dyDescent="0.25">
      <c r="B16" s="28">
        <v>45698</v>
      </c>
      <c r="C16" s="29" t="s">
        <v>30</v>
      </c>
      <c r="D16" s="30" t="s">
        <v>79</v>
      </c>
      <c r="E16" s="29" t="s">
        <v>63</v>
      </c>
      <c r="F16" s="31">
        <v>11484</v>
      </c>
      <c r="G16" s="30" t="s">
        <v>79</v>
      </c>
      <c r="H16" s="32" t="s">
        <v>80</v>
      </c>
      <c r="I16" s="33" t="s">
        <v>81</v>
      </c>
    </row>
    <row r="17" spans="2:9" ht="18" customHeight="1" x14ac:dyDescent="0.25">
      <c r="B17" s="34">
        <v>45698</v>
      </c>
      <c r="C17" s="35" t="s">
        <v>23</v>
      </c>
      <c r="D17" s="36" t="s">
        <v>66</v>
      </c>
      <c r="E17" s="37" t="s">
        <v>67</v>
      </c>
      <c r="F17" s="38">
        <v>85000</v>
      </c>
      <c r="G17" s="36" t="s">
        <v>66</v>
      </c>
      <c r="H17" s="39" t="s">
        <v>68</v>
      </c>
      <c r="I17" s="40" t="s">
        <v>69</v>
      </c>
    </row>
    <row r="18" spans="2:9" ht="18" customHeight="1" x14ac:dyDescent="0.25">
      <c r="B18" s="28">
        <v>45698</v>
      </c>
      <c r="C18" s="29" t="s">
        <v>23</v>
      </c>
      <c r="D18" s="30" t="s">
        <v>91</v>
      </c>
      <c r="E18" s="29" t="s">
        <v>63</v>
      </c>
      <c r="F18" s="31">
        <v>35666</v>
      </c>
      <c r="G18" s="30" t="s">
        <v>91</v>
      </c>
      <c r="H18" s="32" t="s">
        <v>92</v>
      </c>
      <c r="I18" s="33" t="s">
        <v>93</v>
      </c>
    </row>
    <row r="19" spans="2:9" ht="18" customHeight="1" x14ac:dyDescent="0.25">
      <c r="B19" s="34">
        <v>45698</v>
      </c>
      <c r="C19" s="35" t="s">
        <v>20</v>
      </c>
      <c r="D19" s="36" t="s">
        <v>94</v>
      </c>
      <c r="E19" s="35" t="s">
        <v>63</v>
      </c>
      <c r="F19" s="38">
        <v>24898</v>
      </c>
      <c r="G19" s="36" t="s">
        <v>94</v>
      </c>
      <c r="H19" s="39" t="s">
        <v>95</v>
      </c>
      <c r="I19" s="40" t="s">
        <v>96</v>
      </c>
    </row>
    <row r="20" spans="2:9" ht="18" customHeight="1" x14ac:dyDescent="0.25">
      <c r="B20" s="28">
        <v>45698</v>
      </c>
      <c r="C20" s="29" t="s">
        <v>37</v>
      </c>
      <c r="D20" s="30" t="s">
        <v>97</v>
      </c>
      <c r="E20" s="29" t="s">
        <v>63</v>
      </c>
      <c r="F20" s="31">
        <v>13180</v>
      </c>
      <c r="G20" s="30" t="s">
        <v>97</v>
      </c>
      <c r="H20" s="32" t="s">
        <v>98</v>
      </c>
      <c r="I20" s="33" t="s">
        <v>99</v>
      </c>
    </row>
    <row r="21" spans="2:9" ht="18" customHeight="1" x14ac:dyDescent="0.25">
      <c r="B21" s="34">
        <v>45698</v>
      </c>
      <c r="C21" s="35" t="s">
        <v>37</v>
      </c>
      <c r="D21" s="36" t="s">
        <v>100</v>
      </c>
      <c r="E21" s="35" t="s">
        <v>63</v>
      </c>
      <c r="F21" s="38">
        <v>20957</v>
      </c>
      <c r="G21" s="36" t="s">
        <v>100</v>
      </c>
      <c r="H21" s="39" t="s">
        <v>101</v>
      </c>
      <c r="I21" s="40" t="s">
        <v>102</v>
      </c>
    </row>
    <row r="22" spans="2:9" ht="18" customHeight="1" x14ac:dyDescent="0.25">
      <c r="B22" s="28">
        <v>45698</v>
      </c>
      <c r="C22" s="29" t="s">
        <v>28</v>
      </c>
      <c r="D22" s="30" t="s">
        <v>103</v>
      </c>
      <c r="E22" s="29" t="s">
        <v>63</v>
      </c>
      <c r="F22" s="31">
        <v>1352</v>
      </c>
      <c r="G22" s="30" t="s">
        <v>103</v>
      </c>
      <c r="H22" s="32" t="s">
        <v>104</v>
      </c>
      <c r="I22" s="33" t="s">
        <v>105</v>
      </c>
    </row>
    <row r="23" spans="2:9" ht="18" customHeight="1" x14ac:dyDescent="0.25">
      <c r="B23" s="34">
        <v>45710</v>
      </c>
      <c r="C23" s="35" t="s">
        <v>30</v>
      </c>
      <c r="D23" s="36" t="s">
        <v>76</v>
      </c>
      <c r="E23" s="37" t="s">
        <v>67</v>
      </c>
      <c r="F23" s="38">
        <v>22000</v>
      </c>
      <c r="G23" s="36" t="s">
        <v>76</v>
      </c>
      <c r="H23" s="39" t="s">
        <v>77</v>
      </c>
      <c r="I23" s="40" t="s">
        <v>78</v>
      </c>
    </row>
    <row r="24" spans="2:9" ht="18" customHeight="1" x14ac:dyDescent="0.25">
      <c r="B24" s="28">
        <v>45710</v>
      </c>
      <c r="C24" s="29" t="s">
        <v>30</v>
      </c>
      <c r="D24" s="30" t="s">
        <v>106</v>
      </c>
      <c r="E24" s="29" t="s">
        <v>63</v>
      </c>
      <c r="F24" s="31">
        <v>7396</v>
      </c>
      <c r="G24" s="30" t="s">
        <v>106</v>
      </c>
      <c r="H24" s="32" t="s">
        <v>107</v>
      </c>
      <c r="I24" s="33" t="s">
        <v>108</v>
      </c>
    </row>
    <row r="25" spans="2:9" ht="18" customHeight="1" x14ac:dyDescent="0.25">
      <c r="B25" s="34">
        <v>45710</v>
      </c>
      <c r="C25" s="35" t="s">
        <v>26</v>
      </c>
      <c r="D25" s="36" t="s">
        <v>109</v>
      </c>
      <c r="E25" s="35" t="s">
        <v>63</v>
      </c>
      <c r="F25" s="38">
        <v>37021</v>
      </c>
      <c r="G25" s="36" t="s">
        <v>109</v>
      </c>
      <c r="H25" s="39" t="s">
        <v>110</v>
      </c>
      <c r="I25" s="40" t="s">
        <v>111</v>
      </c>
    </row>
    <row r="26" spans="2:9" ht="18" customHeight="1" x14ac:dyDescent="0.25">
      <c r="B26" s="28">
        <v>45710</v>
      </c>
      <c r="C26" s="29" t="s">
        <v>20</v>
      </c>
      <c r="D26" s="30" t="s">
        <v>112</v>
      </c>
      <c r="E26" s="29" t="s">
        <v>63</v>
      </c>
      <c r="F26" s="31">
        <v>5478</v>
      </c>
      <c r="G26" s="30" t="s">
        <v>112</v>
      </c>
      <c r="H26" s="32" t="s">
        <v>113</v>
      </c>
      <c r="I26" s="33" t="s">
        <v>114</v>
      </c>
    </row>
    <row r="27" spans="2:9" ht="18" customHeight="1" x14ac:dyDescent="0.25">
      <c r="B27" s="34">
        <v>45710</v>
      </c>
      <c r="C27" s="35" t="s">
        <v>35</v>
      </c>
      <c r="D27" s="36" t="s">
        <v>115</v>
      </c>
      <c r="E27" s="35" t="s">
        <v>63</v>
      </c>
      <c r="F27" s="38">
        <v>96657</v>
      </c>
      <c r="G27" s="36" t="s">
        <v>115</v>
      </c>
      <c r="H27" s="39" t="s">
        <v>116</v>
      </c>
      <c r="I27" s="40" t="s">
        <v>117</v>
      </c>
    </row>
    <row r="28" spans="2:9" ht="18" customHeight="1" x14ac:dyDescent="0.25">
      <c r="B28" s="28">
        <v>45710</v>
      </c>
      <c r="C28" s="29" t="s">
        <v>28</v>
      </c>
      <c r="D28" s="30" t="s">
        <v>103</v>
      </c>
      <c r="E28" s="29" t="s">
        <v>63</v>
      </c>
      <c r="F28" s="31">
        <v>1229</v>
      </c>
      <c r="G28" s="30" t="s">
        <v>103</v>
      </c>
      <c r="H28" s="32" t="s">
        <v>104</v>
      </c>
      <c r="I28" s="33" t="s">
        <v>105</v>
      </c>
    </row>
    <row r="29" spans="2:9" ht="18" customHeight="1" x14ac:dyDescent="0.25">
      <c r="B29" s="34">
        <v>45721</v>
      </c>
      <c r="C29" s="35" t="s">
        <v>33</v>
      </c>
      <c r="D29" s="36" t="s">
        <v>118</v>
      </c>
      <c r="E29" s="35" t="s">
        <v>63</v>
      </c>
      <c r="F29" s="38">
        <v>17361</v>
      </c>
      <c r="G29" s="36" t="s">
        <v>118</v>
      </c>
      <c r="H29" s="39" t="s">
        <v>119</v>
      </c>
      <c r="I29" s="40" t="s">
        <v>120</v>
      </c>
    </row>
    <row r="30" spans="2:9" ht="18" customHeight="1" x14ac:dyDescent="0.25">
      <c r="B30" s="28">
        <v>45721</v>
      </c>
      <c r="C30" s="29" t="s">
        <v>30</v>
      </c>
      <c r="D30" s="30" t="s">
        <v>121</v>
      </c>
      <c r="E30" s="29" t="s">
        <v>63</v>
      </c>
      <c r="F30" s="31">
        <v>9586</v>
      </c>
      <c r="G30" s="30" t="s">
        <v>121</v>
      </c>
      <c r="H30" s="32" t="s">
        <v>122</v>
      </c>
      <c r="I30" s="33" t="s">
        <v>123</v>
      </c>
    </row>
    <row r="31" spans="2:9" ht="18" customHeight="1" x14ac:dyDescent="0.25">
      <c r="B31" s="34">
        <v>45721</v>
      </c>
      <c r="C31" s="35" t="s">
        <v>20</v>
      </c>
      <c r="D31" s="36" t="s">
        <v>70</v>
      </c>
      <c r="E31" s="37" t="s">
        <v>67</v>
      </c>
      <c r="F31" s="38">
        <v>140000</v>
      </c>
      <c r="G31" s="36" t="s">
        <v>70</v>
      </c>
      <c r="H31" s="39" t="s">
        <v>71</v>
      </c>
      <c r="I31" s="40" t="s">
        <v>72</v>
      </c>
    </row>
    <row r="32" spans="2:9" ht="18" customHeight="1" x14ac:dyDescent="0.25">
      <c r="B32" s="28">
        <v>45721</v>
      </c>
      <c r="C32" s="29" t="s">
        <v>20</v>
      </c>
      <c r="D32" s="30" t="s">
        <v>124</v>
      </c>
      <c r="E32" s="29" t="s">
        <v>63</v>
      </c>
      <c r="F32" s="31">
        <v>7181</v>
      </c>
      <c r="G32" s="30" t="s">
        <v>124</v>
      </c>
      <c r="H32" s="32" t="s">
        <v>125</v>
      </c>
      <c r="I32" s="33" t="s">
        <v>126</v>
      </c>
    </row>
    <row r="33" spans="2:9" ht="18" customHeight="1" x14ac:dyDescent="0.25">
      <c r="B33" s="34">
        <v>45721</v>
      </c>
      <c r="C33" s="35" t="s">
        <v>35</v>
      </c>
      <c r="D33" s="36" t="s">
        <v>115</v>
      </c>
      <c r="E33" s="35" t="s">
        <v>63</v>
      </c>
      <c r="F33" s="38">
        <v>104629</v>
      </c>
      <c r="G33" s="36" t="s">
        <v>115</v>
      </c>
      <c r="H33" s="39" t="s">
        <v>116</v>
      </c>
      <c r="I33" s="40" t="s">
        <v>117</v>
      </c>
    </row>
    <row r="34" spans="2:9" ht="18" customHeight="1" x14ac:dyDescent="0.25">
      <c r="B34" s="28">
        <v>45721</v>
      </c>
      <c r="C34" s="29" t="s">
        <v>28</v>
      </c>
      <c r="D34" s="30" t="s">
        <v>127</v>
      </c>
      <c r="E34" s="41" t="s">
        <v>67</v>
      </c>
      <c r="F34" s="31">
        <v>40000</v>
      </c>
      <c r="G34" s="30" t="s">
        <v>127</v>
      </c>
      <c r="H34" s="32" t="s">
        <v>20</v>
      </c>
      <c r="I34" s="33" t="s">
        <v>128</v>
      </c>
    </row>
    <row r="35" spans="2:9" ht="18" customHeight="1" x14ac:dyDescent="0.25">
      <c r="B35" s="34">
        <v>45734</v>
      </c>
      <c r="C35" s="35" t="s">
        <v>33</v>
      </c>
      <c r="D35" s="36" t="s">
        <v>73</v>
      </c>
      <c r="E35" s="35" t="s">
        <v>63</v>
      </c>
      <c r="F35" s="38">
        <v>20140</v>
      </c>
      <c r="G35" s="36" t="s">
        <v>73</v>
      </c>
      <c r="H35" s="39" t="s">
        <v>74</v>
      </c>
      <c r="I35" s="40" t="s">
        <v>75</v>
      </c>
    </row>
    <row r="36" spans="2:9" ht="18" customHeight="1" x14ac:dyDescent="0.25">
      <c r="B36" s="28">
        <v>45734</v>
      </c>
      <c r="C36" s="29" t="s">
        <v>30</v>
      </c>
      <c r="D36" s="30" t="s">
        <v>79</v>
      </c>
      <c r="E36" s="29" t="s">
        <v>63</v>
      </c>
      <c r="F36" s="31">
        <v>7370</v>
      </c>
      <c r="G36" s="30" t="s">
        <v>79</v>
      </c>
      <c r="H36" s="32" t="s">
        <v>80</v>
      </c>
      <c r="I36" s="33" t="s">
        <v>81</v>
      </c>
    </row>
    <row r="37" spans="2:9" ht="18" customHeight="1" x14ac:dyDescent="0.25">
      <c r="B37" s="34">
        <v>45734</v>
      </c>
      <c r="C37" s="35" t="s">
        <v>23</v>
      </c>
      <c r="D37" s="36" t="s">
        <v>91</v>
      </c>
      <c r="E37" s="35" t="s">
        <v>63</v>
      </c>
      <c r="F37" s="38">
        <v>25261</v>
      </c>
      <c r="G37" s="36" t="s">
        <v>91</v>
      </c>
      <c r="H37" s="39" t="s">
        <v>92</v>
      </c>
      <c r="I37" s="40" t="s">
        <v>93</v>
      </c>
    </row>
    <row r="38" spans="2:9" ht="18" customHeight="1" x14ac:dyDescent="0.25">
      <c r="B38" s="28">
        <v>45734</v>
      </c>
      <c r="C38" s="29" t="s">
        <v>26</v>
      </c>
      <c r="D38" s="30" t="s">
        <v>129</v>
      </c>
      <c r="E38" s="29" t="s">
        <v>63</v>
      </c>
      <c r="F38" s="31">
        <v>36148</v>
      </c>
      <c r="G38" s="30" t="s">
        <v>129</v>
      </c>
      <c r="H38" s="32" t="s">
        <v>130</v>
      </c>
      <c r="I38" s="33" t="s">
        <v>117</v>
      </c>
    </row>
    <row r="39" spans="2:9" ht="18" customHeight="1" x14ac:dyDescent="0.25">
      <c r="B39" s="34">
        <v>45734</v>
      </c>
      <c r="C39" s="35" t="s">
        <v>20</v>
      </c>
      <c r="D39" s="36" t="s">
        <v>94</v>
      </c>
      <c r="E39" s="35" t="s">
        <v>63</v>
      </c>
      <c r="F39" s="38">
        <v>22460</v>
      </c>
      <c r="G39" s="36" t="s">
        <v>94</v>
      </c>
      <c r="H39" s="39" t="s">
        <v>95</v>
      </c>
      <c r="I39" s="40" t="s">
        <v>96</v>
      </c>
    </row>
    <row r="40" spans="2:9" ht="18" customHeight="1" x14ac:dyDescent="0.25">
      <c r="B40" s="28">
        <v>45734</v>
      </c>
      <c r="C40" s="29" t="s">
        <v>20</v>
      </c>
      <c r="D40" s="30" t="s">
        <v>94</v>
      </c>
      <c r="E40" s="29" t="s">
        <v>63</v>
      </c>
      <c r="F40" s="31">
        <v>7508</v>
      </c>
      <c r="G40" s="30" t="s">
        <v>94</v>
      </c>
      <c r="H40" s="32" t="s">
        <v>95</v>
      </c>
      <c r="I40" s="33" t="s">
        <v>96</v>
      </c>
    </row>
    <row r="41" spans="2:9" ht="18" customHeight="1" x14ac:dyDescent="0.25">
      <c r="B41" s="34">
        <v>45734</v>
      </c>
      <c r="C41" s="35" t="s">
        <v>37</v>
      </c>
      <c r="D41" s="36" t="s">
        <v>70</v>
      </c>
      <c r="E41" s="37" t="s">
        <v>67</v>
      </c>
      <c r="F41" s="38">
        <v>100000</v>
      </c>
      <c r="G41" s="36" t="s">
        <v>70</v>
      </c>
      <c r="H41" s="39" t="s">
        <v>71</v>
      </c>
      <c r="I41" s="40" t="s">
        <v>72</v>
      </c>
    </row>
    <row r="42" spans="2:9" ht="18" customHeight="1" x14ac:dyDescent="0.25">
      <c r="B42" s="28">
        <v>45744</v>
      </c>
      <c r="C42" s="29" t="s">
        <v>33</v>
      </c>
      <c r="D42" s="30" t="s">
        <v>118</v>
      </c>
      <c r="E42" s="29" t="s">
        <v>63</v>
      </c>
      <c r="F42" s="31">
        <v>9722</v>
      </c>
      <c r="G42" s="30" t="s">
        <v>118</v>
      </c>
      <c r="H42" s="32" t="s">
        <v>119</v>
      </c>
      <c r="I42" s="33" t="s">
        <v>120</v>
      </c>
    </row>
    <row r="43" spans="2:9" ht="18" customHeight="1" x14ac:dyDescent="0.25">
      <c r="B43" s="34">
        <v>45744</v>
      </c>
      <c r="C43" s="35" t="s">
        <v>30</v>
      </c>
      <c r="D43" s="36" t="s">
        <v>88</v>
      </c>
      <c r="E43" s="35" t="s">
        <v>63</v>
      </c>
      <c r="F43" s="38">
        <v>4873</v>
      </c>
      <c r="G43" s="36" t="s">
        <v>88</v>
      </c>
      <c r="H43" s="39" t="s">
        <v>89</v>
      </c>
      <c r="I43" s="40" t="s">
        <v>90</v>
      </c>
    </row>
    <row r="44" spans="2:9" ht="18" customHeight="1" x14ac:dyDescent="0.25">
      <c r="B44" s="28">
        <v>45744</v>
      </c>
      <c r="C44" s="29" t="s">
        <v>30</v>
      </c>
      <c r="D44" s="30" t="s">
        <v>121</v>
      </c>
      <c r="E44" s="29" t="s">
        <v>63</v>
      </c>
      <c r="F44" s="31">
        <v>8756</v>
      </c>
      <c r="G44" s="30" t="s">
        <v>121</v>
      </c>
      <c r="H44" s="32" t="s">
        <v>122</v>
      </c>
      <c r="I44" s="33" t="s">
        <v>123</v>
      </c>
    </row>
    <row r="45" spans="2:9" ht="18" customHeight="1" x14ac:dyDescent="0.25">
      <c r="B45" s="34">
        <v>45744</v>
      </c>
      <c r="C45" s="35" t="s">
        <v>20</v>
      </c>
      <c r="D45" s="36" t="s">
        <v>124</v>
      </c>
      <c r="E45" s="35" t="s">
        <v>63</v>
      </c>
      <c r="F45" s="38">
        <v>14630</v>
      </c>
      <c r="G45" s="36" t="s">
        <v>124</v>
      </c>
      <c r="H45" s="39" t="s">
        <v>125</v>
      </c>
      <c r="I45" s="40" t="s">
        <v>126</v>
      </c>
    </row>
    <row r="46" spans="2:9" ht="18" customHeight="1" x14ac:dyDescent="0.25">
      <c r="B46" s="28">
        <v>45744</v>
      </c>
      <c r="C46" s="29" t="s">
        <v>20</v>
      </c>
      <c r="D46" s="30" t="s">
        <v>112</v>
      </c>
      <c r="E46" s="29" t="s">
        <v>63</v>
      </c>
      <c r="F46" s="31">
        <v>11273</v>
      </c>
      <c r="G46" s="30" t="s">
        <v>112</v>
      </c>
      <c r="H46" s="32" t="s">
        <v>113</v>
      </c>
      <c r="I46" s="33" t="s">
        <v>114</v>
      </c>
    </row>
    <row r="47" spans="2:9" ht="18" customHeight="1" x14ac:dyDescent="0.25">
      <c r="B47" s="34">
        <v>45744</v>
      </c>
      <c r="C47" s="35" t="s">
        <v>37</v>
      </c>
      <c r="D47" s="36" t="s">
        <v>131</v>
      </c>
      <c r="E47" s="35" t="s">
        <v>63</v>
      </c>
      <c r="F47" s="38">
        <v>22965</v>
      </c>
      <c r="G47" s="36" t="s">
        <v>131</v>
      </c>
      <c r="H47" s="39" t="s">
        <v>132</v>
      </c>
      <c r="I47" s="40" t="s">
        <v>133</v>
      </c>
    </row>
    <row r="48" spans="2:9" ht="18" customHeight="1" x14ac:dyDescent="0.25">
      <c r="B48" s="28">
        <v>45744</v>
      </c>
      <c r="C48" s="29" t="s">
        <v>28</v>
      </c>
      <c r="D48" s="30" t="s">
        <v>134</v>
      </c>
      <c r="E48" s="29" t="s">
        <v>63</v>
      </c>
      <c r="F48" s="31">
        <v>3190</v>
      </c>
      <c r="G48" s="30" t="s">
        <v>134</v>
      </c>
      <c r="H48" s="32" t="s">
        <v>135</v>
      </c>
      <c r="I48" s="33" t="s">
        <v>136</v>
      </c>
    </row>
    <row r="49" spans="2:9" ht="18" customHeight="1" x14ac:dyDescent="0.25">
      <c r="B49" s="34">
        <v>45755</v>
      </c>
      <c r="C49" s="35" t="s">
        <v>23</v>
      </c>
      <c r="D49" s="36" t="s">
        <v>66</v>
      </c>
      <c r="E49" s="37" t="s">
        <v>67</v>
      </c>
      <c r="F49" s="38">
        <v>95000</v>
      </c>
      <c r="G49" s="36" t="s">
        <v>66</v>
      </c>
      <c r="H49" s="39" t="s">
        <v>68</v>
      </c>
      <c r="I49" s="40" t="s">
        <v>69</v>
      </c>
    </row>
    <row r="50" spans="2:9" ht="18" customHeight="1" x14ac:dyDescent="0.25">
      <c r="B50" s="28">
        <v>45755</v>
      </c>
      <c r="C50" s="29" t="s">
        <v>26</v>
      </c>
      <c r="D50" s="30" t="s">
        <v>66</v>
      </c>
      <c r="E50" s="41" t="s">
        <v>67</v>
      </c>
      <c r="F50" s="31">
        <v>62000</v>
      </c>
      <c r="G50" s="30" t="s">
        <v>66</v>
      </c>
      <c r="H50" s="32" t="s">
        <v>68</v>
      </c>
      <c r="I50" s="33" t="s">
        <v>69</v>
      </c>
    </row>
    <row r="51" spans="2:9" ht="18" customHeight="1" x14ac:dyDescent="0.25">
      <c r="B51" s="34">
        <v>45755</v>
      </c>
      <c r="C51" s="35" t="s">
        <v>26</v>
      </c>
      <c r="D51" s="36" t="s">
        <v>137</v>
      </c>
      <c r="E51" s="35" t="s">
        <v>63</v>
      </c>
      <c r="F51" s="38">
        <v>28788</v>
      </c>
      <c r="G51" s="36" t="s">
        <v>137</v>
      </c>
      <c r="H51" s="39" t="s">
        <v>138</v>
      </c>
      <c r="I51" s="40" t="s">
        <v>139</v>
      </c>
    </row>
    <row r="52" spans="2:9" ht="18" customHeight="1" x14ac:dyDescent="0.25">
      <c r="B52" s="28">
        <v>45755</v>
      </c>
      <c r="C52" s="29" t="s">
        <v>20</v>
      </c>
      <c r="D52" s="30" t="s">
        <v>82</v>
      </c>
      <c r="E52" s="41" t="s">
        <v>67</v>
      </c>
      <c r="F52" s="31">
        <v>105000</v>
      </c>
      <c r="G52" s="30" t="s">
        <v>82</v>
      </c>
      <c r="H52" s="32" t="s">
        <v>83</v>
      </c>
      <c r="I52" s="33" t="s">
        <v>84</v>
      </c>
    </row>
    <row r="53" spans="2:9" ht="18" customHeight="1" x14ac:dyDescent="0.25">
      <c r="B53" s="34">
        <v>45755</v>
      </c>
      <c r="C53" s="35" t="s">
        <v>20</v>
      </c>
      <c r="D53" s="36" t="s">
        <v>94</v>
      </c>
      <c r="E53" s="35" t="s">
        <v>63</v>
      </c>
      <c r="F53" s="38">
        <v>20002</v>
      </c>
      <c r="G53" s="36" t="s">
        <v>94</v>
      </c>
      <c r="H53" s="39" t="s">
        <v>95</v>
      </c>
      <c r="I53" s="40" t="s">
        <v>96</v>
      </c>
    </row>
    <row r="54" spans="2:9" ht="18" customHeight="1" x14ac:dyDescent="0.25">
      <c r="B54" s="28">
        <v>45755</v>
      </c>
      <c r="C54" s="29" t="s">
        <v>20</v>
      </c>
      <c r="D54" s="30" t="s">
        <v>112</v>
      </c>
      <c r="E54" s="29" t="s">
        <v>63</v>
      </c>
      <c r="F54" s="31">
        <v>13126</v>
      </c>
      <c r="G54" s="30" t="s">
        <v>112</v>
      </c>
      <c r="H54" s="32" t="s">
        <v>113</v>
      </c>
      <c r="I54" s="33" t="s">
        <v>114</v>
      </c>
    </row>
    <row r="55" spans="2:9" ht="18" customHeight="1" x14ac:dyDescent="0.25">
      <c r="B55" s="34">
        <v>45755</v>
      </c>
      <c r="C55" s="35" t="s">
        <v>20</v>
      </c>
      <c r="D55" s="36" t="s">
        <v>124</v>
      </c>
      <c r="E55" s="35" t="s">
        <v>63</v>
      </c>
      <c r="F55" s="38">
        <v>15587</v>
      </c>
      <c r="G55" s="36" t="s">
        <v>124</v>
      </c>
      <c r="H55" s="39" t="s">
        <v>125</v>
      </c>
      <c r="I55" s="40" t="s">
        <v>126</v>
      </c>
    </row>
    <row r="56" spans="2:9" ht="18" customHeight="1" x14ac:dyDescent="0.25">
      <c r="B56" s="28">
        <v>45755</v>
      </c>
      <c r="C56" s="29" t="s">
        <v>37</v>
      </c>
      <c r="D56" s="30" t="s">
        <v>70</v>
      </c>
      <c r="E56" s="41" t="s">
        <v>67</v>
      </c>
      <c r="F56" s="31">
        <v>110000</v>
      </c>
      <c r="G56" s="30" t="s">
        <v>70</v>
      </c>
      <c r="H56" s="32" t="s">
        <v>71</v>
      </c>
      <c r="I56" s="33" t="s">
        <v>72</v>
      </c>
    </row>
    <row r="57" spans="2:9" ht="18" customHeight="1" x14ac:dyDescent="0.25">
      <c r="B57" s="34">
        <v>45755</v>
      </c>
      <c r="C57" s="35" t="s">
        <v>35</v>
      </c>
      <c r="D57" s="36" t="s">
        <v>115</v>
      </c>
      <c r="E57" s="35" t="s">
        <v>63</v>
      </c>
      <c r="F57" s="38">
        <v>88545</v>
      </c>
      <c r="G57" s="36" t="s">
        <v>115</v>
      </c>
      <c r="H57" s="39" t="s">
        <v>116</v>
      </c>
      <c r="I57" s="40" t="s">
        <v>117</v>
      </c>
    </row>
    <row r="58" spans="2:9" ht="18" customHeight="1" x14ac:dyDescent="0.25">
      <c r="B58" s="28">
        <v>45755</v>
      </c>
      <c r="C58" s="29" t="s">
        <v>28</v>
      </c>
      <c r="D58" s="30" t="s">
        <v>103</v>
      </c>
      <c r="E58" s="29" t="s">
        <v>63</v>
      </c>
      <c r="F58" s="31">
        <v>2299</v>
      </c>
      <c r="G58" s="30" t="s">
        <v>103</v>
      </c>
      <c r="H58" s="32" t="s">
        <v>104</v>
      </c>
      <c r="I58" s="33" t="s">
        <v>105</v>
      </c>
    </row>
    <row r="59" spans="2:9" ht="18" customHeight="1" x14ac:dyDescent="0.25">
      <c r="B59" s="34">
        <v>45755</v>
      </c>
      <c r="C59" s="35" t="s">
        <v>28</v>
      </c>
      <c r="D59" s="36" t="s">
        <v>103</v>
      </c>
      <c r="E59" s="35" t="s">
        <v>63</v>
      </c>
      <c r="F59" s="38">
        <v>3349</v>
      </c>
      <c r="G59" s="36" t="s">
        <v>103</v>
      </c>
      <c r="H59" s="39" t="s">
        <v>104</v>
      </c>
      <c r="I59" s="40" t="s">
        <v>105</v>
      </c>
    </row>
    <row r="60" spans="2:9" ht="18" customHeight="1" x14ac:dyDescent="0.25">
      <c r="B60" s="28">
        <v>45755</v>
      </c>
      <c r="C60" s="29" t="s">
        <v>28</v>
      </c>
      <c r="D60" s="30" t="s">
        <v>134</v>
      </c>
      <c r="E60" s="29" t="s">
        <v>63</v>
      </c>
      <c r="F60" s="31">
        <v>4064</v>
      </c>
      <c r="G60" s="30" t="s">
        <v>134</v>
      </c>
      <c r="H60" s="32" t="s">
        <v>135</v>
      </c>
      <c r="I60" s="33" t="s">
        <v>136</v>
      </c>
    </row>
    <row r="61" spans="2:9" ht="18" customHeight="1" x14ac:dyDescent="0.25">
      <c r="B61" s="34">
        <v>45766</v>
      </c>
      <c r="C61" s="35" t="s">
        <v>30</v>
      </c>
      <c r="D61" s="36" t="s">
        <v>88</v>
      </c>
      <c r="E61" s="35" t="s">
        <v>63</v>
      </c>
      <c r="F61" s="38">
        <v>7712</v>
      </c>
      <c r="G61" s="36" t="s">
        <v>88</v>
      </c>
      <c r="H61" s="39" t="s">
        <v>89</v>
      </c>
      <c r="I61" s="40" t="s">
        <v>90</v>
      </c>
    </row>
    <row r="62" spans="2:9" ht="18" customHeight="1" x14ac:dyDescent="0.25">
      <c r="B62" s="28">
        <v>45766</v>
      </c>
      <c r="C62" s="29" t="s">
        <v>23</v>
      </c>
      <c r="D62" s="30" t="s">
        <v>91</v>
      </c>
      <c r="E62" s="29" t="s">
        <v>63</v>
      </c>
      <c r="F62" s="31">
        <v>38674</v>
      </c>
      <c r="G62" s="30" t="s">
        <v>91</v>
      </c>
      <c r="H62" s="32" t="s">
        <v>92</v>
      </c>
      <c r="I62" s="33" t="s">
        <v>93</v>
      </c>
    </row>
    <row r="63" spans="2:9" ht="18" customHeight="1" x14ac:dyDescent="0.25">
      <c r="B63" s="34">
        <v>45766</v>
      </c>
      <c r="C63" s="35" t="s">
        <v>37</v>
      </c>
      <c r="D63" s="36" t="s">
        <v>131</v>
      </c>
      <c r="E63" s="35" t="s">
        <v>63</v>
      </c>
      <c r="F63" s="38">
        <v>18469</v>
      </c>
      <c r="G63" s="36" t="s">
        <v>131</v>
      </c>
      <c r="H63" s="39" t="s">
        <v>132</v>
      </c>
      <c r="I63" s="40" t="s">
        <v>133</v>
      </c>
    </row>
    <row r="64" spans="2:9" ht="18" customHeight="1" x14ac:dyDescent="0.25">
      <c r="B64" s="28">
        <v>45766</v>
      </c>
      <c r="C64" s="29" t="s">
        <v>37</v>
      </c>
      <c r="D64" s="30" t="s">
        <v>100</v>
      </c>
      <c r="E64" s="29" t="s">
        <v>63</v>
      </c>
      <c r="F64" s="31">
        <v>11288</v>
      </c>
      <c r="G64" s="30" t="s">
        <v>100</v>
      </c>
      <c r="H64" s="32" t="s">
        <v>101</v>
      </c>
      <c r="I64" s="33" t="s">
        <v>102</v>
      </c>
    </row>
    <row r="65" spans="2:9" ht="18" customHeight="1" x14ac:dyDescent="0.25">
      <c r="B65" s="34">
        <v>45766</v>
      </c>
      <c r="C65" s="35" t="s">
        <v>37</v>
      </c>
      <c r="D65" s="36" t="s">
        <v>100</v>
      </c>
      <c r="E65" s="35" t="s">
        <v>63</v>
      </c>
      <c r="F65" s="38">
        <v>40756</v>
      </c>
      <c r="G65" s="36" t="s">
        <v>100</v>
      </c>
      <c r="H65" s="39" t="s">
        <v>101</v>
      </c>
      <c r="I65" s="40" t="s">
        <v>102</v>
      </c>
    </row>
    <row r="66" spans="2:9" ht="18" customHeight="1" x14ac:dyDescent="0.25">
      <c r="B66" s="28">
        <v>45766</v>
      </c>
      <c r="C66" s="29" t="s">
        <v>35</v>
      </c>
      <c r="D66" s="30" t="s">
        <v>115</v>
      </c>
      <c r="E66" s="29" t="s">
        <v>63</v>
      </c>
      <c r="F66" s="31">
        <v>172044</v>
      </c>
      <c r="G66" s="30" t="s">
        <v>115</v>
      </c>
      <c r="H66" s="32" t="s">
        <v>116</v>
      </c>
      <c r="I66" s="33" t="s">
        <v>117</v>
      </c>
    </row>
    <row r="67" spans="2:9" ht="18" customHeight="1" x14ac:dyDescent="0.25">
      <c r="B67" s="34">
        <v>45766</v>
      </c>
      <c r="C67" s="35" t="s">
        <v>28</v>
      </c>
      <c r="D67" s="36" t="s">
        <v>140</v>
      </c>
      <c r="E67" s="35" t="s">
        <v>63</v>
      </c>
      <c r="F67" s="38">
        <v>740</v>
      </c>
      <c r="G67" s="36" t="s">
        <v>140</v>
      </c>
      <c r="H67" s="39" t="s">
        <v>141</v>
      </c>
      <c r="I67" s="40" t="s">
        <v>142</v>
      </c>
    </row>
    <row r="68" spans="2:9" ht="18" customHeight="1" x14ac:dyDescent="0.25">
      <c r="B68" s="28">
        <v>45779</v>
      </c>
      <c r="C68" s="29" t="s">
        <v>33</v>
      </c>
      <c r="D68" s="30" t="s">
        <v>118</v>
      </c>
      <c r="E68" s="29" t="s">
        <v>63</v>
      </c>
      <c r="F68" s="31">
        <v>12190</v>
      </c>
      <c r="G68" s="30" t="s">
        <v>118</v>
      </c>
      <c r="H68" s="32" t="s">
        <v>119</v>
      </c>
      <c r="I68" s="33" t="s">
        <v>120</v>
      </c>
    </row>
    <row r="69" spans="2:9" ht="18" customHeight="1" x14ac:dyDescent="0.25">
      <c r="B69" s="34">
        <v>45779</v>
      </c>
      <c r="C69" s="35" t="s">
        <v>26</v>
      </c>
      <c r="D69" s="36" t="s">
        <v>129</v>
      </c>
      <c r="E69" s="35" t="s">
        <v>63</v>
      </c>
      <c r="F69" s="38">
        <v>18182</v>
      </c>
      <c r="G69" s="36" t="s">
        <v>129</v>
      </c>
      <c r="H69" s="39" t="s">
        <v>130</v>
      </c>
      <c r="I69" s="40" t="s">
        <v>117</v>
      </c>
    </row>
    <row r="70" spans="2:9" ht="18" customHeight="1" x14ac:dyDescent="0.25">
      <c r="B70" s="28">
        <v>45779</v>
      </c>
      <c r="C70" s="29" t="s">
        <v>37</v>
      </c>
      <c r="D70" s="30" t="s">
        <v>70</v>
      </c>
      <c r="E70" s="41" t="s">
        <v>67</v>
      </c>
      <c r="F70" s="31">
        <v>120000</v>
      </c>
      <c r="G70" s="30" t="s">
        <v>70</v>
      </c>
      <c r="H70" s="32" t="s">
        <v>71</v>
      </c>
      <c r="I70" s="33" t="s">
        <v>72</v>
      </c>
    </row>
    <row r="71" spans="2:9" ht="18" customHeight="1" x14ac:dyDescent="0.25">
      <c r="B71" s="34">
        <v>45779</v>
      </c>
      <c r="C71" s="35" t="s">
        <v>37</v>
      </c>
      <c r="D71" s="36" t="s">
        <v>97</v>
      </c>
      <c r="E71" s="35" t="s">
        <v>63</v>
      </c>
      <c r="F71" s="38">
        <v>20509</v>
      </c>
      <c r="G71" s="36" t="s">
        <v>97</v>
      </c>
      <c r="H71" s="39" t="s">
        <v>98</v>
      </c>
      <c r="I71" s="40" t="s">
        <v>99</v>
      </c>
    </row>
    <row r="72" spans="2:9" ht="18" customHeight="1" x14ac:dyDescent="0.25">
      <c r="B72" s="28">
        <v>45791</v>
      </c>
      <c r="C72" s="29" t="s">
        <v>23</v>
      </c>
      <c r="D72" s="30" t="s">
        <v>91</v>
      </c>
      <c r="E72" s="29" t="s">
        <v>63</v>
      </c>
      <c r="F72" s="31">
        <v>25486</v>
      </c>
      <c r="G72" s="30" t="s">
        <v>91</v>
      </c>
      <c r="H72" s="32" t="s">
        <v>92</v>
      </c>
      <c r="I72" s="33" t="s">
        <v>93</v>
      </c>
    </row>
    <row r="73" spans="2:9" ht="18" customHeight="1" x14ac:dyDescent="0.25">
      <c r="B73" s="34">
        <v>45791</v>
      </c>
      <c r="C73" s="35" t="s">
        <v>23</v>
      </c>
      <c r="D73" s="36" t="s">
        <v>91</v>
      </c>
      <c r="E73" s="35" t="s">
        <v>63</v>
      </c>
      <c r="F73" s="38">
        <v>8037</v>
      </c>
      <c r="G73" s="36" t="s">
        <v>91</v>
      </c>
      <c r="H73" s="39" t="s">
        <v>92</v>
      </c>
      <c r="I73" s="40" t="s">
        <v>93</v>
      </c>
    </row>
    <row r="74" spans="2:9" ht="18" customHeight="1" x14ac:dyDescent="0.25">
      <c r="B74" s="28">
        <v>45791</v>
      </c>
      <c r="C74" s="29" t="s">
        <v>20</v>
      </c>
      <c r="D74" s="30" t="s">
        <v>94</v>
      </c>
      <c r="E74" s="29" t="s">
        <v>63</v>
      </c>
      <c r="F74" s="31">
        <v>21085</v>
      </c>
      <c r="G74" s="30" t="s">
        <v>94</v>
      </c>
      <c r="H74" s="32" t="s">
        <v>95</v>
      </c>
      <c r="I74" s="33" t="s">
        <v>96</v>
      </c>
    </row>
    <row r="75" spans="2:9" ht="18" customHeight="1" x14ac:dyDescent="0.25">
      <c r="B75" s="34">
        <v>45791</v>
      </c>
      <c r="C75" s="35" t="s">
        <v>35</v>
      </c>
      <c r="D75" s="36" t="s">
        <v>115</v>
      </c>
      <c r="E75" s="35" t="s">
        <v>63</v>
      </c>
      <c r="F75" s="38">
        <v>113642</v>
      </c>
      <c r="G75" s="36" t="s">
        <v>115</v>
      </c>
      <c r="H75" s="39" t="s">
        <v>116</v>
      </c>
      <c r="I75" s="40" t="s">
        <v>117</v>
      </c>
    </row>
    <row r="76" spans="2:9" ht="18" customHeight="1" x14ac:dyDescent="0.25">
      <c r="B76" s="28">
        <v>45791</v>
      </c>
      <c r="C76" s="29" t="s">
        <v>28</v>
      </c>
      <c r="D76" s="30" t="s">
        <v>127</v>
      </c>
      <c r="E76" s="41" t="s">
        <v>67</v>
      </c>
      <c r="F76" s="31">
        <v>45000</v>
      </c>
      <c r="G76" s="30" t="s">
        <v>127</v>
      </c>
      <c r="H76" s="32" t="s">
        <v>20</v>
      </c>
      <c r="I76" s="33" t="s">
        <v>128</v>
      </c>
    </row>
    <row r="77" spans="2:9" ht="18" customHeight="1" x14ac:dyDescent="0.25">
      <c r="B77" s="34">
        <v>45791</v>
      </c>
      <c r="C77" s="35" t="s">
        <v>28</v>
      </c>
      <c r="D77" s="36" t="s">
        <v>127</v>
      </c>
      <c r="E77" s="37" t="s">
        <v>67</v>
      </c>
      <c r="F77" s="38">
        <v>30000</v>
      </c>
      <c r="G77" s="36" t="s">
        <v>127</v>
      </c>
      <c r="H77" s="39" t="s">
        <v>20</v>
      </c>
      <c r="I77" s="40" t="s">
        <v>128</v>
      </c>
    </row>
    <row r="78" spans="2:9" ht="18" customHeight="1" x14ac:dyDescent="0.25">
      <c r="B78" s="28">
        <v>45791</v>
      </c>
      <c r="C78" s="29" t="s">
        <v>28</v>
      </c>
      <c r="D78" s="30" t="s">
        <v>103</v>
      </c>
      <c r="E78" s="29" t="s">
        <v>63</v>
      </c>
      <c r="F78" s="31">
        <v>1370</v>
      </c>
      <c r="G78" s="30" t="s">
        <v>103</v>
      </c>
      <c r="H78" s="32" t="s">
        <v>104</v>
      </c>
      <c r="I78" s="33" t="s">
        <v>105</v>
      </c>
    </row>
    <row r="79" spans="2:9" ht="18" customHeight="1" x14ac:dyDescent="0.25">
      <c r="B79" s="34">
        <v>45791</v>
      </c>
      <c r="C79" s="35" t="s">
        <v>28</v>
      </c>
      <c r="D79" s="36" t="s">
        <v>103</v>
      </c>
      <c r="E79" s="35" t="s">
        <v>63</v>
      </c>
      <c r="F79" s="38">
        <v>726</v>
      </c>
      <c r="G79" s="36" t="s">
        <v>103</v>
      </c>
      <c r="H79" s="39" t="s">
        <v>104</v>
      </c>
      <c r="I79" s="40" t="s">
        <v>105</v>
      </c>
    </row>
    <row r="80" spans="2:9" ht="18" customHeight="1" x14ac:dyDescent="0.25">
      <c r="B80" s="28">
        <v>45804</v>
      </c>
      <c r="C80" s="29" t="s">
        <v>30</v>
      </c>
      <c r="D80" s="30" t="s">
        <v>76</v>
      </c>
      <c r="E80" s="41" t="s">
        <v>67</v>
      </c>
      <c r="F80" s="31">
        <v>18000</v>
      </c>
      <c r="G80" s="30" t="s">
        <v>76</v>
      </c>
      <c r="H80" s="32" t="s">
        <v>77</v>
      </c>
      <c r="I80" s="33" t="s">
        <v>78</v>
      </c>
    </row>
    <row r="81" spans="2:9" ht="18" customHeight="1" x14ac:dyDescent="0.25">
      <c r="B81" s="34">
        <v>45804</v>
      </c>
      <c r="C81" s="35" t="s">
        <v>23</v>
      </c>
      <c r="D81" s="36" t="s">
        <v>129</v>
      </c>
      <c r="E81" s="35" t="s">
        <v>63</v>
      </c>
      <c r="F81" s="38">
        <v>21035</v>
      </c>
      <c r="G81" s="36" t="s">
        <v>129</v>
      </c>
      <c r="H81" s="39" t="s">
        <v>143</v>
      </c>
      <c r="I81" s="40" t="s">
        <v>117</v>
      </c>
    </row>
    <row r="82" spans="2:9" ht="18" customHeight="1" x14ac:dyDescent="0.25">
      <c r="B82" s="28">
        <v>45804</v>
      </c>
      <c r="C82" s="29" t="s">
        <v>28</v>
      </c>
      <c r="D82" s="30" t="s">
        <v>134</v>
      </c>
      <c r="E82" s="29" t="s">
        <v>63</v>
      </c>
      <c r="F82" s="31">
        <v>3149</v>
      </c>
      <c r="G82" s="30" t="s">
        <v>134</v>
      </c>
      <c r="H82" s="32" t="s">
        <v>135</v>
      </c>
      <c r="I82" s="33" t="s">
        <v>136</v>
      </c>
    </row>
    <row r="83" spans="2:9" ht="18" customHeight="1" x14ac:dyDescent="0.25">
      <c r="B83" s="34">
        <v>45814</v>
      </c>
      <c r="C83" s="35" t="s">
        <v>33</v>
      </c>
      <c r="D83" s="36" t="s">
        <v>70</v>
      </c>
      <c r="E83" s="37" t="s">
        <v>67</v>
      </c>
      <c r="F83" s="38">
        <v>85000</v>
      </c>
      <c r="G83" s="36" t="s">
        <v>70</v>
      </c>
      <c r="H83" s="39" t="s">
        <v>71</v>
      </c>
      <c r="I83" s="40" t="s">
        <v>72</v>
      </c>
    </row>
    <row r="84" spans="2:9" ht="18" customHeight="1" x14ac:dyDescent="0.25">
      <c r="B84" s="28">
        <v>45814</v>
      </c>
      <c r="C84" s="29" t="s">
        <v>30</v>
      </c>
      <c r="D84" s="30" t="s">
        <v>79</v>
      </c>
      <c r="E84" s="29" t="s">
        <v>63</v>
      </c>
      <c r="F84" s="31">
        <v>7009</v>
      </c>
      <c r="G84" s="30" t="s">
        <v>79</v>
      </c>
      <c r="H84" s="32" t="s">
        <v>80</v>
      </c>
      <c r="I84" s="33" t="s">
        <v>81</v>
      </c>
    </row>
    <row r="85" spans="2:9" ht="18" customHeight="1" x14ac:dyDescent="0.25">
      <c r="B85" s="34">
        <v>45814</v>
      </c>
      <c r="C85" s="35" t="s">
        <v>20</v>
      </c>
      <c r="D85" s="36" t="s">
        <v>144</v>
      </c>
      <c r="E85" s="35" t="s">
        <v>63</v>
      </c>
      <c r="F85" s="38">
        <v>7854</v>
      </c>
      <c r="G85" s="36" t="s">
        <v>144</v>
      </c>
      <c r="H85" s="39" t="s">
        <v>145</v>
      </c>
      <c r="I85" s="40" t="s">
        <v>146</v>
      </c>
    </row>
    <row r="86" spans="2:9" ht="18" customHeight="1" x14ac:dyDescent="0.25">
      <c r="B86" s="28">
        <v>45814</v>
      </c>
      <c r="C86" s="29" t="s">
        <v>20</v>
      </c>
      <c r="D86" s="30" t="s">
        <v>124</v>
      </c>
      <c r="E86" s="29" t="s">
        <v>63</v>
      </c>
      <c r="F86" s="31">
        <v>3551</v>
      </c>
      <c r="G86" s="30" t="s">
        <v>124</v>
      </c>
      <c r="H86" s="32" t="s">
        <v>125</v>
      </c>
      <c r="I86" s="33" t="s">
        <v>126</v>
      </c>
    </row>
    <row r="87" spans="2:9" ht="18" customHeight="1" x14ac:dyDescent="0.25">
      <c r="B87" s="34">
        <v>45814</v>
      </c>
      <c r="C87" s="35" t="s">
        <v>37</v>
      </c>
      <c r="D87" s="36" t="s">
        <v>70</v>
      </c>
      <c r="E87" s="37" t="s">
        <v>67</v>
      </c>
      <c r="F87" s="38">
        <v>130000</v>
      </c>
      <c r="G87" s="36" t="s">
        <v>70</v>
      </c>
      <c r="H87" s="39" t="s">
        <v>71</v>
      </c>
      <c r="I87" s="40" t="s">
        <v>72</v>
      </c>
    </row>
    <row r="88" spans="2:9" ht="18" customHeight="1" x14ac:dyDescent="0.25">
      <c r="B88" s="28">
        <v>45825</v>
      </c>
      <c r="C88" s="29" t="s">
        <v>30</v>
      </c>
      <c r="D88" s="30" t="s">
        <v>88</v>
      </c>
      <c r="E88" s="29" t="s">
        <v>63</v>
      </c>
      <c r="F88" s="31">
        <v>4672</v>
      </c>
      <c r="G88" s="30" t="s">
        <v>88</v>
      </c>
      <c r="H88" s="32" t="s">
        <v>89</v>
      </c>
      <c r="I88" s="33" t="s">
        <v>90</v>
      </c>
    </row>
    <row r="89" spans="2:9" ht="18" customHeight="1" x14ac:dyDescent="0.25">
      <c r="B89" s="34">
        <v>45825</v>
      </c>
      <c r="C89" s="35" t="s">
        <v>23</v>
      </c>
      <c r="D89" s="36" t="s">
        <v>62</v>
      </c>
      <c r="E89" s="35" t="s">
        <v>63</v>
      </c>
      <c r="F89" s="38">
        <v>15310</v>
      </c>
      <c r="G89" s="36" t="s">
        <v>62</v>
      </c>
      <c r="H89" s="39" t="s">
        <v>64</v>
      </c>
      <c r="I89" s="40" t="s">
        <v>65</v>
      </c>
    </row>
    <row r="90" spans="2:9" ht="18" customHeight="1" x14ac:dyDescent="0.25">
      <c r="B90" s="28">
        <v>45825</v>
      </c>
      <c r="C90" s="29" t="s">
        <v>28</v>
      </c>
      <c r="D90" s="30" t="s">
        <v>134</v>
      </c>
      <c r="E90" s="29" t="s">
        <v>63</v>
      </c>
      <c r="F90" s="31">
        <v>3663</v>
      </c>
      <c r="G90" s="30" t="s">
        <v>134</v>
      </c>
      <c r="H90" s="32" t="s">
        <v>135</v>
      </c>
      <c r="I90" s="33" t="s">
        <v>136</v>
      </c>
    </row>
    <row r="91" spans="2:9" ht="18" customHeight="1" x14ac:dyDescent="0.25">
      <c r="B91" s="34">
        <v>45836</v>
      </c>
      <c r="C91" s="35" t="s">
        <v>20</v>
      </c>
      <c r="D91" s="36" t="s">
        <v>94</v>
      </c>
      <c r="E91" s="35" t="s">
        <v>63</v>
      </c>
      <c r="F91" s="38">
        <v>15464</v>
      </c>
      <c r="G91" s="36" t="s">
        <v>94</v>
      </c>
      <c r="H91" s="39" t="s">
        <v>95</v>
      </c>
      <c r="I91" s="40" t="s">
        <v>96</v>
      </c>
    </row>
    <row r="92" spans="2:9" ht="18" customHeight="1" x14ac:dyDescent="0.25">
      <c r="B92" s="28">
        <v>45836</v>
      </c>
      <c r="C92" s="29" t="s">
        <v>37</v>
      </c>
      <c r="D92" s="30" t="s">
        <v>70</v>
      </c>
      <c r="E92" s="41" t="s">
        <v>67</v>
      </c>
      <c r="F92" s="31">
        <v>95000</v>
      </c>
      <c r="G92" s="30" t="s">
        <v>70</v>
      </c>
      <c r="H92" s="32" t="s">
        <v>71</v>
      </c>
      <c r="I92" s="33" t="s">
        <v>72</v>
      </c>
    </row>
    <row r="93" spans="2:9" ht="18" customHeight="1" x14ac:dyDescent="0.25">
      <c r="B93" s="34">
        <v>45836</v>
      </c>
      <c r="C93" s="35" t="s">
        <v>35</v>
      </c>
      <c r="D93" s="36" t="s">
        <v>115</v>
      </c>
      <c r="E93" s="35" t="s">
        <v>63</v>
      </c>
      <c r="F93" s="38">
        <v>54016</v>
      </c>
      <c r="G93" s="36" t="s">
        <v>115</v>
      </c>
      <c r="H93" s="39" t="s">
        <v>147</v>
      </c>
      <c r="I93" s="40" t="s">
        <v>117</v>
      </c>
    </row>
    <row r="94" spans="2:9" ht="18" customHeight="1" x14ac:dyDescent="0.25">
      <c r="B94" s="28">
        <v>45836</v>
      </c>
      <c r="C94" s="29" t="s">
        <v>28</v>
      </c>
      <c r="D94" s="30" t="s">
        <v>134</v>
      </c>
      <c r="E94" s="29" t="s">
        <v>63</v>
      </c>
      <c r="F94" s="31">
        <v>2184</v>
      </c>
      <c r="G94" s="30" t="s">
        <v>134</v>
      </c>
      <c r="H94" s="32" t="s">
        <v>135</v>
      </c>
      <c r="I94" s="33" t="s">
        <v>136</v>
      </c>
    </row>
    <row r="95" spans="2:9" ht="18" customHeight="1" x14ac:dyDescent="0.25">
      <c r="B95" s="34">
        <v>45847</v>
      </c>
      <c r="C95" s="35" t="s">
        <v>20</v>
      </c>
      <c r="D95" s="36" t="s">
        <v>94</v>
      </c>
      <c r="E95" s="35" t="s">
        <v>63</v>
      </c>
      <c r="F95" s="38">
        <v>9467</v>
      </c>
      <c r="G95" s="36" t="s">
        <v>94</v>
      </c>
      <c r="H95" s="39" t="s">
        <v>95</v>
      </c>
      <c r="I95" s="40" t="s">
        <v>96</v>
      </c>
    </row>
    <row r="96" spans="2:9" ht="18" customHeight="1" x14ac:dyDescent="0.25">
      <c r="B96" s="28">
        <v>45847</v>
      </c>
      <c r="C96" s="29" t="s">
        <v>20</v>
      </c>
      <c r="D96" s="30" t="s">
        <v>148</v>
      </c>
      <c r="E96" s="29" t="s">
        <v>63</v>
      </c>
      <c r="F96" s="31">
        <v>7032</v>
      </c>
      <c r="G96" s="30" t="s">
        <v>148</v>
      </c>
      <c r="H96" s="32" t="s">
        <v>149</v>
      </c>
      <c r="I96" s="33" t="s">
        <v>150</v>
      </c>
    </row>
    <row r="97" spans="2:9" ht="18" customHeight="1" x14ac:dyDescent="0.25">
      <c r="B97" s="34">
        <v>45847</v>
      </c>
      <c r="C97" s="35" t="s">
        <v>37</v>
      </c>
      <c r="D97" s="36" t="s">
        <v>131</v>
      </c>
      <c r="E97" s="35" t="s">
        <v>63</v>
      </c>
      <c r="F97" s="38">
        <v>21800</v>
      </c>
      <c r="G97" s="36" t="s">
        <v>131</v>
      </c>
      <c r="H97" s="39" t="s">
        <v>132</v>
      </c>
      <c r="I97" s="40" t="s">
        <v>133</v>
      </c>
    </row>
    <row r="98" spans="2:9" ht="18" customHeight="1" x14ac:dyDescent="0.25">
      <c r="B98" s="28">
        <v>45860</v>
      </c>
      <c r="C98" s="29" t="s">
        <v>33</v>
      </c>
      <c r="D98" s="30" t="s">
        <v>118</v>
      </c>
      <c r="E98" s="29" t="s">
        <v>63</v>
      </c>
      <c r="F98" s="31">
        <v>22642</v>
      </c>
      <c r="G98" s="30" t="s">
        <v>118</v>
      </c>
      <c r="H98" s="32" t="s">
        <v>119</v>
      </c>
      <c r="I98" s="33" t="s">
        <v>120</v>
      </c>
    </row>
    <row r="99" spans="2:9" ht="18" customHeight="1" x14ac:dyDescent="0.25">
      <c r="B99" s="34">
        <v>45860</v>
      </c>
      <c r="C99" s="35" t="s">
        <v>23</v>
      </c>
      <c r="D99" s="36" t="s">
        <v>91</v>
      </c>
      <c r="E99" s="35" t="s">
        <v>63</v>
      </c>
      <c r="F99" s="38">
        <v>27558</v>
      </c>
      <c r="G99" s="36" t="s">
        <v>91</v>
      </c>
      <c r="H99" s="39" t="s">
        <v>92</v>
      </c>
      <c r="I99" s="40" t="s">
        <v>93</v>
      </c>
    </row>
    <row r="100" spans="2:9" ht="18" customHeight="1" x14ac:dyDescent="0.25">
      <c r="B100" s="28">
        <v>45860</v>
      </c>
      <c r="C100" s="29" t="s">
        <v>23</v>
      </c>
      <c r="D100" s="30" t="s">
        <v>91</v>
      </c>
      <c r="E100" s="29" t="s">
        <v>63</v>
      </c>
      <c r="F100" s="31">
        <v>18587</v>
      </c>
      <c r="G100" s="30" t="s">
        <v>91</v>
      </c>
      <c r="H100" s="32" t="s">
        <v>92</v>
      </c>
      <c r="I100" s="33" t="s">
        <v>93</v>
      </c>
    </row>
    <row r="101" spans="2:9" ht="18" customHeight="1" x14ac:dyDescent="0.25">
      <c r="B101" s="34">
        <v>45860</v>
      </c>
      <c r="C101" s="35" t="s">
        <v>28</v>
      </c>
      <c r="D101" s="36" t="s">
        <v>134</v>
      </c>
      <c r="E101" s="35" t="s">
        <v>63</v>
      </c>
      <c r="F101" s="38">
        <v>1979</v>
      </c>
      <c r="G101" s="36" t="s">
        <v>134</v>
      </c>
      <c r="H101" s="39" t="s">
        <v>135</v>
      </c>
      <c r="I101" s="40" t="s">
        <v>136</v>
      </c>
    </row>
    <row r="102" spans="2:9" ht="18" customHeight="1" x14ac:dyDescent="0.25">
      <c r="B102" s="28">
        <v>45874</v>
      </c>
      <c r="C102" s="29" t="s">
        <v>33</v>
      </c>
      <c r="D102" s="30" t="s">
        <v>70</v>
      </c>
      <c r="E102" s="41" t="s">
        <v>67</v>
      </c>
      <c r="F102" s="31">
        <v>50000</v>
      </c>
      <c r="G102" s="30" t="s">
        <v>70</v>
      </c>
      <c r="H102" s="32" t="s">
        <v>71</v>
      </c>
      <c r="I102" s="33" t="s">
        <v>72</v>
      </c>
    </row>
    <row r="103" spans="2:9" ht="18" customHeight="1" x14ac:dyDescent="0.25">
      <c r="B103" s="34">
        <v>45874</v>
      </c>
      <c r="C103" s="35" t="s">
        <v>33</v>
      </c>
      <c r="D103" s="36" t="s">
        <v>70</v>
      </c>
      <c r="E103" s="37" t="s">
        <v>67</v>
      </c>
      <c r="F103" s="38">
        <v>60000</v>
      </c>
      <c r="G103" s="36" t="s">
        <v>70</v>
      </c>
      <c r="H103" s="39" t="s">
        <v>71</v>
      </c>
      <c r="I103" s="40" t="s">
        <v>72</v>
      </c>
    </row>
    <row r="104" spans="2:9" ht="18" customHeight="1" x14ac:dyDescent="0.25">
      <c r="B104" s="28">
        <v>45874</v>
      </c>
      <c r="C104" s="29" t="s">
        <v>23</v>
      </c>
      <c r="D104" s="30" t="s">
        <v>66</v>
      </c>
      <c r="E104" s="41" t="s">
        <v>67</v>
      </c>
      <c r="F104" s="31">
        <v>110000</v>
      </c>
      <c r="G104" s="30" t="s">
        <v>66</v>
      </c>
      <c r="H104" s="32" t="s">
        <v>68</v>
      </c>
      <c r="I104" s="33" t="s">
        <v>69</v>
      </c>
    </row>
    <row r="105" spans="2:9" ht="18" customHeight="1" x14ac:dyDescent="0.25">
      <c r="B105" s="34">
        <v>45874</v>
      </c>
      <c r="C105" s="35" t="s">
        <v>23</v>
      </c>
      <c r="D105" s="36" t="s">
        <v>91</v>
      </c>
      <c r="E105" s="35" t="s">
        <v>63</v>
      </c>
      <c r="F105" s="38">
        <v>15507</v>
      </c>
      <c r="G105" s="36" t="s">
        <v>91</v>
      </c>
      <c r="H105" s="39" t="s">
        <v>92</v>
      </c>
      <c r="I105" s="40" t="s">
        <v>93</v>
      </c>
    </row>
    <row r="106" spans="2:9" ht="18" customHeight="1" x14ac:dyDescent="0.25">
      <c r="B106" s="28">
        <v>45874</v>
      </c>
      <c r="C106" s="29" t="s">
        <v>26</v>
      </c>
      <c r="D106" s="30" t="s">
        <v>109</v>
      </c>
      <c r="E106" s="29" t="s">
        <v>63</v>
      </c>
      <c r="F106" s="31">
        <v>36849</v>
      </c>
      <c r="G106" s="30" t="s">
        <v>109</v>
      </c>
      <c r="H106" s="32" t="s">
        <v>110</v>
      </c>
      <c r="I106" s="33" t="s">
        <v>111</v>
      </c>
    </row>
    <row r="107" spans="2:9" ht="18" customHeight="1" x14ac:dyDescent="0.25">
      <c r="B107" s="34">
        <v>45874</v>
      </c>
      <c r="C107" s="35" t="s">
        <v>26</v>
      </c>
      <c r="D107" s="36" t="s">
        <v>109</v>
      </c>
      <c r="E107" s="35" t="s">
        <v>63</v>
      </c>
      <c r="F107" s="38">
        <v>32730</v>
      </c>
      <c r="G107" s="36" t="s">
        <v>109</v>
      </c>
      <c r="H107" s="39" t="s">
        <v>110</v>
      </c>
      <c r="I107" s="40" t="s">
        <v>111</v>
      </c>
    </row>
    <row r="108" spans="2:9" ht="18" customHeight="1" x14ac:dyDescent="0.25">
      <c r="B108" s="28">
        <v>45874</v>
      </c>
      <c r="C108" s="29" t="s">
        <v>20</v>
      </c>
      <c r="D108" s="30" t="s">
        <v>94</v>
      </c>
      <c r="E108" s="29" t="s">
        <v>63</v>
      </c>
      <c r="F108" s="31">
        <v>10581</v>
      </c>
      <c r="G108" s="30" t="s">
        <v>94</v>
      </c>
      <c r="H108" s="32" t="s">
        <v>95</v>
      </c>
      <c r="I108" s="33" t="s">
        <v>96</v>
      </c>
    </row>
    <row r="109" spans="2:9" ht="18" customHeight="1" x14ac:dyDescent="0.25">
      <c r="B109" s="34">
        <v>45874</v>
      </c>
      <c r="C109" s="35" t="s">
        <v>37</v>
      </c>
      <c r="D109" s="36" t="s">
        <v>97</v>
      </c>
      <c r="E109" s="35" t="s">
        <v>63</v>
      </c>
      <c r="F109" s="38">
        <v>14838</v>
      </c>
      <c r="G109" s="36" t="s">
        <v>97</v>
      </c>
      <c r="H109" s="39" t="s">
        <v>98</v>
      </c>
      <c r="I109" s="40" t="s">
        <v>99</v>
      </c>
    </row>
    <row r="110" spans="2:9" ht="18" customHeight="1" x14ac:dyDescent="0.25">
      <c r="B110" s="28">
        <v>45874</v>
      </c>
      <c r="C110" s="29" t="s">
        <v>35</v>
      </c>
      <c r="D110" s="30" t="s">
        <v>115</v>
      </c>
      <c r="E110" s="29" t="s">
        <v>63</v>
      </c>
      <c r="F110" s="31">
        <v>61209</v>
      </c>
      <c r="G110" s="30" t="s">
        <v>115</v>
      </c>
      <c r="H110" s="32" t="s">
        <v>147</v>
      </c>
      <c r="I110" s="33" t="s">
        <v>117</v>
      </c>
    </row>
    <row r="111" spans="2:9" ht="18" customHeight="1" x14ac:dyDescent="0.25">
      <c r="B111" s="34">
        <v>45887</v>
      </c>
      <c r="C111" s="35" t="s">
        <v>26</v>
      </c>
      <c r="D111" s="36" t="s">
        <v>66</v>
      </c>
      <c r="E111" s="37" t="s">
        <v>67</v>
      </c>
      <c r="F111" s="38">
        <v>68000</v>
      </c>
      <c r="G111" s="36" t="s">
        <v>66</v>
      </c>
      <c r="H111" s="39" t="s">
        <v>68</v>
      </c>
      <c r="I111" s="40" t="s">
        <v>69</v>
      </c>
    </row>
    <row r="112" spans="2:9" ht="18" customHeight="1" x14ac:dyDescent="0.25">
      <c r="B112" s="28">
        <v>45887</v>
      </c>
      <c r="C112" s="29" t="s">
        <v>26</v>
      </c>
      <c r="D112" s="30" t="s">
        <v>109</v>
      </c>
      <c r="E112" s="29" t="s">
        <v>63</v>
      </c>
      <c r="F112" s="31">
        <v>8796</v>
      </c>
      <c r="G112" s="30" t="s">
        <v>109</v>
      </c>
      <c r="H112" s="32" t="s">
        <v>110</v>
      </c>
      <c r="I112" s="33" t="s">
        <v>111</v>
      </c>
    </row>
    <row r="113" spans="2:9" ht="18" customHeight="1" x14ac:dyDescent="0.25">
      <c r="B113" s="34">
        <v>45887</v>
      </c>
      <c r="C113" s="35" t="s">
        <v>20</v>
      </c>
      <c r="D113" s="36" t="s">
        <v>70</v>
      </c>
      <c r="E113" s="37" t="s">
        <v>67</v>
      </c>
      <c r="F113" s="38">
        <v>95000</v>
      </c>
      <c r="G113" s="36" t="s">
        <v>70</v>
      </c>
      <c r="H113" s="39" t="s">
        <v>71</v>
      </c>
      <c r="I113" s="40" t="s">
        <v>72</v>
      </c>
    </row>
    <row r="114" spans="2:9" ht="18" customHeight="1" x14ac:dyDescent="0.25">
      <c r="B114" s="28">
        <v>45887</v>
      </c>
      <c r="C114" s="29" t="s">
        <v>20</v>
      </c>
      <c r="D114" s="30" t="s">
        <v>144</v>
      </c>
      <c r="E114" s="29" t="s">
        <v>63</v>
      </c>
      <c r="F114" s="31">
        <v>21655</v>
      </c>
      <c r="G114" s="30" t="s">
        <v>144</v>
      </c>
      <c r="H114" s="32" t="s">
        <v>145</v>
      </c>
      <c r="I114" s="33" t="s">
        <v>146</v>
      </c>
    </row>
    <row r="115" spans="2:9" ht="18" customHeight="1" x14ac:dyDescent="0.25">
      <c r="B115" s="34">
        <v>45887</v>
      </c>
      <c r="C115" s="35" t="s">
        <v>35</v>
      </c>
      <c r="D115" s="36" t="s">
        <v>66</v>
      </c>
      <c r="E115" s="37" t="s">
        <v>67</v>
      </c>
      <c r="F115" s="38">
        <v>320000</v>
      </c>
      <c r="G115" s="36" t="s">
        <v>66</v>
      </c>
      <c r="H115" s="39" t="s">
        <v>68</v>
      </c>
      <c r="I115" s="40" t="s">
        <v>69</v>
      </c>
    </row>
    <row r="116" spans="2:9" ht="18" customHeight="1" x14ac:dyDescent="0.25">
      <c r="B116" s="28">
        <v>45887</v>
      </c>
      <c r="C116" s="29" t="s">
        <v>28</v>
      </c>
      <c r="D116" s="30" t="s">
        <v>140</v>
      </c>
      <c r="E116" s="29" t="s">
        <v>63</v>
      </c>
      <c r="F116" s="31">
        <v>536</v>
      </c>
      <c r="G116" s="30" t="s">
        <v>140</v>
      </c>
      <c r="H116" s="32" t="s">
        <v>141</v>
      </c>
      <c r="I116" s="33" t="s">
        <v>142</v>
      </c>
    </row>
    <row r="117" spans="2:9" ht="18" customHeight="1" x14ac:dyDescent="0.25">
      <c r="B117" s="34">
        <v>45898</v>
      </c>
      <c r="C117" s="35" t="s">
        <v>23</v>
      </c>
      <c r="D117" s="36" t="s">
        <v>62</v>
      </c>
      <c r="E117" s="35" t="s">
        <v>63</v>
      </c>
      <c r="F117" s="38">
        <v>33216</v>
      </c>
      <c r="G117" s="36" t="s">
        <v>62</v>
      </c>
      <c r="H117" s="39" t="s">
        <v>64</v>
      </c>
      <c r="I117" s="40" t="s">
        <v>65</v>
      </c>
    </row>
    <row r="118" spans="2:9" ht="18" customHeight="1" x14ac:dyDescent="0.25">
      <c r="B118" s="28">
        <v>45898</v>
      </c>
      <c r="C118" s="29" t="s">
        <v>26</v>
      </c>
      <c r="D118" s="30" t="s">
        <v>129</v>
      </c>
      <c r="E118" s="29" t="s">
        <v>63</v>
      </c>
      <c r="F118" s="31">
        <v>22370</v>
      </c>
      <c r="G118" s="30" t="s">
        <v>129</v>
      </c>
      <c r="H118" s="32" t="s">
        <v>130</v>
      </c>
      <c r="I118" s="33" t="s">
        <v>117</v>
      </c>
    </row>
    <row r="119" spans="2:9" ht="18" customHeight="1" x14ac:dyDescent="0.25">
      <c r="B119" s="34">
        <v>45898</v>
      </c>
      <c r="C119" s="35" t="s">
        <v>35</v>
      </c>
      <c r="D119" s="36" t="s">
        <v>115</v>
      </c>
      <c r="E119" s="35" t="s">
        <v>63</v>
      </c>
      <c r="F119" s="38">
        <v>99543</v>
      </c>
      <c r="G119" s="36" t="s">
        <v>115</v>
      </c>
      <c r="H119" s="39" t="s">
        <v>147</v>
      </c>
      <c r="I119" s="40" t="s">
        <v>117</v>
      </c>
    </row>
    <row r="120" spans="2:9" ht="18" customHeight="1" x14ac:dyDescent="0.25">
      <c r="B120" s="28">
        <v>45910</v>
      </c>
      <c r="C120" s="29" t="s">
        <v>23</v>
      </c>
      <c r="D120" s="30" t="s">
        <v>129</v>
      </c>
      <c r="E120" s="29" t="s">
        <v>63</v>
      </c>
      <c r="F120" s="31">
        <v>41271</v>
      </c>
      <c r="G120" s="30" t="s">
        <v>129</v>
      </c>
      <c r="H120" s="32" t="s">
        <v>143</v>
      </c>
      <c r="I120" s="33" t="s">
        <v>117</v>
      </c>
    </row>
    <row r="121" spans="2:9" ht="18" customHeight="1" x14ac:dyDescent="0.25">
      <c r="B121" s="34">
        <v>45910</v>
      </c>
      <c r="C121" s="35" t="s">
        <v>26</v>
      </c>
      <c r="D121" s="36" t="s">
        <v>129</v>
      </c>
      <c r="E121" s="35" t="s">
        <v>63</v>
      </c>
      <c r="F121" s="38">
        <v>31148</v>
      </c>
      <c r="G121" s="36" t="s">
        <v>129</v>
      </c>
      <c r="H121" s="39" t="s">
        <v>130</v>
      </c>
      <c r="I121" s="40" t="s">
        <v>117</v>
      </c>
    </row>
    <row r="122" spans="2:9" ht="18" customHeight="1" x14ac:dyDescent="0.25">
      <c r="B122" s="28">
        <v>45910</v>
      </c>
      <c r="C122" s="29" t="s">
        <v>37</v>
      </c>
      <c r="D122" s="30" t="s">
        <v>131</v>
      </c>
      <c r="E122" s="29" t="s">
        <v>63</v>
      </c>
      <c r="F122" s="31">
        <v>24325</v>
      </c>
      <c r="G122" s="30" t="s">
        <v>131</v>
      </c>
      <c r="H122" s="32" t="s">
        <v>132</v>
      </c>
      <c r="I122" s="33" t="s">
        <v>133</v>
      </c>
    </row>
    <row r="123" spans="2:9" ht="18" customHeight="1" x14ac:dyDescent="0.25">
      <c r="B123" s="34">
        <v>45910</v>
      </c>
      <c r="C123" s="35" t="s">
        <v>35</v>
      </c>
      <c r="D123" s="36" t="s">
        <v>66</v>
      </c>
      <c r="E123" s="37" t="s">
        <v>67</v>
      </c>
      <c r="F123" s="38">
        <v>280000</v>
      </c>
      <c r="G123" s="36" t="s">
        <v>66</v>
      </c>
      <c r="H123" s="39" t="s">
        <v>68</v>
      </c>
      <c r="I123" s="40" t="s">
        <v>69</v>
      </c>
    </row>
    <row r="124" spans="2:9" ht="18" customHeight="1" x14ac:dyDescent="0.25">
      <c r="B124" s="28">
        <v>45923</v>
      </c>
      <c r="C124" s="29" t="s">
        <v>23</v>
      </c>
      <c r="D124" s="30" t="s">
        <v>129</v>
      </c>
      <c r="E124" s="29" t="s">
        <v>63</v>
      </c>
      <c r="F124" s="31">
        <v>44256</v>
      </c>
      <c r="G124" s="30" t="s">
        <v>129</v>
      </c>
      <c r="H124" s="32" t="s">
        <v>143</v>
      </c>
      <c r="I124" s="33" t="s">
        <v>117</v>
      </c>
    </row>
    <row r="125" spans="2:9" ht="18" customHeight="1" x14ac:dyDescent="0.25">
      <c r="B125" s="34">
        <v>45923</v>
      </c>
      <c r="C125" s="35" t="s">
        <v>26</v>
      </c>
      <c r="D125" s="36" t="s">
        <v>109</v>
      </c>
      <c r="E125" s="35" t="s">
        <v>63</v>
      </c>
      <c r="F125" s="38">
        <v>13241</v>
      </c>
      <c r="G125" s="36" t="s">
        <v>109</v>
      </c>
      <c r="H125" s="39" t="s">
        <v>110</v>
      </c>
      <c r="I125" s="40" t="s">
        <v>111</v>
      </c>
    </row>
    <row r="126" spans="2:9" ht="18" customHeight="1" x14ac:dyDescent="0.25">
      <c r="B126" s="28">
        <v>45923</v>
      </c>
      <c r="C126" s="29" t="s">
        <v>20</v>
      </c>
      <c r="D126" s="30" t="s">
        <v>70</v>
      </c>
      <c r="E126" s="41" t="s">
        <v>67</v>
      </c>
      <c r="F126" s="31">
        <v>115000</v>
      </c>
      <c r="G126" s="30" t="s">
        <v>70</v>
      </c>
      <c r="H126" s="32" t="s">
        <v>71</v>
      </c>
      <c r="I126" s="33" t="s">
        <v>72</v>
      </c>
    </row>
    <row r="127" spans="2:9" ht="18" customHeight="1" x14ac:dyDescent="0.25">
      <c r="B127" s="34">
        <v>45923</v>
      </c>
      <c r="C127" s="35" t="s">
        <v>20</v>
      </c>
      <c r="D127" s="36" t="s">
        <v>151</v>
      </c>
      <c r="E127" s="35" t="s">
        <v>63</v>
      </c>
      <c r="F127" s="38">
        <v>20750</v>
      </c>
      <c r="G127" s="36" t="s">
        <v>151</v>
      </c>
      <c r="H127" s="39" t="s">
        <v>152</v>
      </c>
      <c r="I127" s="40" t="s">
        <v>153</v>
      </c>
    </row>
    <row r="128" spans="2:9" ht="18" customHeight="1" x14ac:dyDescent="0.25">
      <c r="B128" s="28">
        <v>45923</v>
      </c>
      <c r="C128" s="29" t="s">
        <v>37</v>
      </c>
      <c r="D128" s="30" t="s">
        <v>100</v>
      </c>
      <c r="E128" s="29" t="s">
        <v>63</v>
      </c>
      <c r="F128" s="31">
        <v>39164</v>
      </c>
      <c r="G128" s="30" t="s">
        <v>100</v>
      </c>
      <c r="H128" s="32" t="s">
        <v>101</v>
      </c>
      <c r="I128" s="33" t="s">
        <v>102</v>
      </c>
    </row>
    <row r="129" spans="2:9" ht="18" customHeight="1" x14ac:dyDescent="0.25">
      <c r="B129" s="34">
        <v>45923</v>
      </c>
      <c r="C129" s="35" t="s">
        <v>37</v>
      </c>
      <c r="D129" s="36" t="s">
        <v>97</v>
      </c>
      <c r="E129" s="35" t="s">
        <v>63</v>
      </c>
      <c r="F129" s="38">
        <v>40846</v>
      </c>
      <c r="G129" s="36" t="s">
        <v>97</v>
      </c>
      <c r="H129" s="39" t="s">
        <v>98</v>
      </c>
      <c r="I129" s="40" t="s">
        <v>99</v>
      </c>
    </row>
    <row r="130" spans="2:9" ht="18" customHeight="1" x14ac:dyDescent="0.25">
      <c r="B130" s="28">
        <v>45923</v>
      </c>
      <c r="C130" s="29" t="s">
        <v>37</v>
      </c>
      <c r="D130" s="30" t="s">
        <v>100</v>
      </c>
      <c r="E130" s="29" t="s">
        <v>63</v>
      </c>
      <c r="F130" s="31">
        <v>26971</v>
      </c>
      <c r="G130" s="30" t="s">
        <v>100</v>
      </c>
      <c r="H130" s="32" t="s">
        <v>101</v>
      </c>
      <c r="I130" s="33" t="s">
        <v>102</v>
      </c>
    </row>
    <row r="131" spans="2:9" ht="18" customHeight="1" x14ac:dyDescent="0.25">
      <c r="B131" s="34">
        <v>45923</v>
      </c>
      <c r="C131" s="35" t="s">
        <v>35</v>
      </c>
      <c r="D131" s="36" t="s">
        <v>115</v>
      </c>
      <c r="E131" s="35" t="s">
        <v>63</v>
      </c>
      <c r="F131" s="38">
        <v>52962</v>
      </c>
      <c r="G131" s="36" t="s">
        <v>115</v>
      </c>
      <c r="H131" s="39" t="s">
        <v>147</v>
      </c>
      <c r="I131" s="40" t="s">
        <v>117</v>
      </c>
    </row>
    <row r="132" spans="2:9" ht="18" customHeight="1" x14ac:dyDescent="0.25">
      <c r="B132" s="28">
        <v>45923</v>
      </c>
      <c r="C132" s="29" t="s">
        <v>35</v>
      </c>
      <c r="D132" s="30" t="s">
        <v>115</v>
      </c>
      <c r="E132" s="29" t="s">
        <v>63</v>
      </c>
      <c r="F132" s="31">
        <v>56491</v>
      </c>
      <c r="G132" s="30" t="s">
        <v>115</v>
      </c>
      <c r="H132" s="32" t="s">
        <v>116</v>
      </c>
      <c r="I132" s="33" t="s">
        <v>117</v>
      </c>
    </row>
    <row r="133" spans="2:9" ht="18" customHeight="1" x14ac:dyDescent="0.25">
      <c r="B133" s="34">
        <v>45923</v>
      </c>
      <c r="C133" s="35" t="s">
        <v>28</v>
      </c>
      <c r="D133" s="36" t="s">
        <v>103</v>
      </c>
      <c r="E133" s="35" t="s">
        <v>63</v>
      </c>
      <c r="F133" s="38">
        <v>3988</v>
      </c>
      <c r="G133" s="36" t="s">
        <v>103</v>
      </c>
      <c r="H133" s="39" t="s">
        <v>104</v>
      </c>
      <c r="I133" s="40" t="s">
        <v>105</v>
      </c>
    </row>
    <row r="134" spans="2:9" ht="18" customHeight="1" x14ac:dyDescent="0.25">
      <c r="B134" s="28">
        <v>45937</v>
      </c>
      <c r="C134" s="29" t="s">
        <v>23</v>
      </c>
      <c r="D134" s="30" t="s">
        <v>66</v>
      </c>
      <c r="E134" s="41" t="s">
        <v>67</v>
      </c>
      <c r="F134" s="31">
        <v>80000</v>
      </c>
      <c r="G134" s="30" t="s">
        <v>66</v>
      </c>
      <c r="H134" s="32" t="s">
        <v>68</v>
      </c>
      <c r="I134" s="33" t="s">
        <v>69</v>
      </c>
    </row>
    <row r="135" spans="2:9" ht="18" customHeight="1" x14ac:dyDescent="0.25">
      <c r="B135" s="34">
        <v>45937</v>
      </c>
      <c r="C135" s="35" t="s">
        <v>26</v>
      </c>
      <c r="D135" s="36" t="s">
        <v>66</v>
      </c>
      <c r="E135" s="37" t="s">
        <v>67</v>
      </c>
      <c r="F135" s="38">
        <v>55000</v>
      </c>
      <c r="G135" s="36" t="s">
        <v>66</v>
      </c>
      <c r="H135" s="39" t="s">
        <v>68</v>
      </c>
      <c r="I135" s="40" t="s">
        <v>69</v>
      </c>
    </row>
    <row r="136" spans="2:9" ht="18" customHeight="1" x14ac:dyDescent="0.25">
      <c r="B136" s="28">
        <v>45937</v>
      </c>
      <c r="C136" s="29" t="s">
        <v>20</v>
      </c>
      <c r="D136" s="30" t="s">
        <v>124</v>
      </c>
      <c r="E136" s="29" t="s">
        <v>63</v>
      </c>
      <c r="F136" s="31">
        <v>24460</v>
      </c>
      <c r="G136" s="30" t="s">
        <v>124</v>
      </c>
      <c r="H136" s="32" t="s">
        <v>125</v>
      </c>
      <c r="I136" s="33" t="s">
        <v>126</v>
      </c>
    </row>
    <row r="137" spans="2:9" ht="18" customHeight="1" x14ac:dyDescent="0.25">
      <c r="B137" s="34">
        <v>45937</v>
      </c>
      <c r="C137" s="35" t="s">
        <v>20</v>
      </c>
      <c r="D137" s="36" t="s">
        <v>94</v>
      </c>
      <c r="E137" s="35" t="s">
        <v>63</v>
      </c>
      <c r="F137" s="38">
        <v>11345</v>
      </c>
      <c r="G137" s="36" t="s">
        <v>94</v>
      </c>
      <c r="H137" s="39" t="s">
        <v>95</v>
      </c>
      <c r="I137" s="40" t="s">
        <v>96</v>
      </c>
    </row>
    <row r="138" spans="2:9" ht="18" customHeight="1" x14ac:dyDescent="0.25">
      <c r="B138" s="28">
        <v>45937</v>
      </c>
      <c r="C138" s="29" t="s">
        <v>35</v>
      </c>
      <c r="D138" s="30" t="s">
        <v>66</v>
      </c>
      <c r="E138" s="41" t="s">
        <v>67</v>
      </c>
      <c r="F138" s="31">
        <v>250000</v>
      </c>
      <c r="G138" s="30" t="s">
        <v>66</v>
      </c>
      <c r="H138" s="32" t="s">
        <v>68</v>
      </c>
      <c r="I138" s="33" t="s">
        <v>69</v>
      </c>
    </row>
    <row r="139" spans="2:9" ht="18" customHeight="1" x14ac:dyDescent="0.25">
      <c r="B139" s="34">
        <v>45951</v>
      </c>
      <c r="C139" s="35" t="s">
        <v>33</v>
      </c>
      <c r="D139" s="36" t="s">
        <v>73</v>
      </c>
      <c r="E139" s="35" t="s">
        <v>63</v>
      </c>
      <c r="F139" s="38">
        <v>5416</v>
      </c>
      <c r="G139" s="36" t="s">
        <v>73</v>
      </c>
      <c r="H139" s="39" t="s">
        <v>74</v>
      </c>
      <c r="I139" s="40" t="s">
        <v>75</v>
      </c>
    </row>
    <row r="140" spans="2:9" ht="18" customHeight="1" x14ac:dyDescent="0.25">
      <c r="B140" s="28">
        <v>45951</v>
      </c>
      <c r="C140" s="29" t="s">
        <v>26</v>
      </c>
      <c r="D140" s="30" t="s">
        <v>109</v>
      </c>
      <c r="E140" s="29" t="s">
        <v>63</v>
      </c>
      <c r="F140" s="31">
        <v>10161</v>
      </c>
      <c r="G140" s="30" t="s">
        <v>109</v>
      </c>
      <c r="H140" s="32" t="s">
        <v>110</v>
      </c>
      <c r="I140" s="33" t="s">
        <v>111</v>
      </c>
    </row>
    <row r="141" spans="2:9" ht="18" customHeight="1" x14ac:dyDescent="0.25">
      <c r="B141" s="34">
        <v>45951</v>
      </c>
      <c r="C141" s="35" t="s">
        <v>20</v>
      </c>
      <c r="D141" s="36" t="s">
        <v>124</v>
      </c>
      <c r="E141" s="35" t="s">
        <v>63</v>
      </c>
      <c r="F141" s="38">
        <v>20161</v>
      </c>
      <c r="G141" s="36" t="s">
        <v>124</v>
      </c>
      <c r="H141" s="39" t="s">
        <v>125</v>
      </c>
      <c r="I141" s="40" t="s">
        <v>126</v>
      </c>
    </row>
    <row r="142" spans="2:9" ht="18" customHeight="1" x14ac:dyDescent="0.25">
      <c r="B142" s="28">
        <v>45951</v>
      </c>
      <c r="C142" s="29" t="s">
        <v>37</v>
      </c>
      <c r="D142" s="30" t="s">
        <v>100</v>
      </c>
      <c r="E142" s="29" t="s">
        <v>63</v>
      </c>
      <c r="F142" s="31">
        <v>12064</v>
      </c>
      <c r="G142" s="30" t="s">
        <v>100</v>
      </c>
      <c r="H142" s="32" t="s">
        <v>101</v>
      </c>
      <c r="I142" s="33" t="s">
        <v>102</v>
      </c>
    </row>
    <row r="143" spans="2:9" ht="18" customHeight="1" x14ac:dyDescent="0.25">
      <c r="B143" s="34">
        <v>45951</v>
      </c>
      <c r="C143" s="35" t="s">
        <v>28</v>
      </c>
      <c r="D143" s="36" t="s">
        <v>140</v>
      </c>
      <c r="E143" s="35" t="s">
        <v>63</v>
      </c>
      <c r="F143" s="38">
        <v>2658</v>
      </c>
      <c r="G143" s="36" t="s">
        <v>140</v>
      </c>
      <c r="H143" s="39" t="s">
        <v>141</v>
      </c>
      <c r="I143" s="40" t="s">
        <v>142</v>
      </c>
    </row>
    <row r="144" spans="2:9" ht="24" customHeight="1" x14ac:dyDescent="0.25">
      <c r="B144" s="80" t="s">
        <v>154</v>
      </c>
      <c r="C144" s="80"/>
      <c r="D144" s="80"/>
      <c r="E144" s="42"/>
      <c r="F144" s="43">
        <f>SUM(F4:F143)</f>
        <v>5823048</v>
      </c>
      <c r="G144" s="42"/>
      <c r="H144" s="42"/>
      <c r="I144" s="42"/>
    </row>
    <row r="146" spans="2:9" ht="18" customHeight="1" x14ac:dyDescent="0.25">
      <c r="B146" s="57" t="s">
        <v>45</v>
      </c>
      <c r="C146" s="57"/>
      <c r="D146" s="57"/>
      <c r="E146" s="57"/>
      <c r="F146" s="57"/>
      <c r="G146" s="57"/>
      <c r="H146" s="57"/>
      <c r="I146" s="57"/>
    </row>
  </sheetData>
  <mergeCells count="3">
    <mergeCell ref="B1:I1"/>
    <mergeCell ref="B144:D144"/>
    <mergeCell ref="B146:I146"/>
  </mergeCells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I26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8" customWidth="1"/>
    <col min="3" max="4" width="14" customWidth="1"/>
    <col min="5" max="6" width="15" customWidth="1"/>
    <col min="7" max="7" width="12" customWidth="1"/>
    <col min="8" max="8" width="14" customWidth="1"/>
    <col min="9" max="9" width="38" customWidth="1"/>
    <col min="10" max="10" width="2" customWidth="1"/>
  </cols>
  <sheetData>
    <row r="1" spans="2:9" ht="31.5" customHeight="1" x14ac:dyDescent="0.25">
      <c r="B1" s="79" t="s">
        <v>155</v>
      </c>
      <c r="C1" s="79"/>
      <c r="D1" s="79"/>
      <c r="E1" s="79"/>
      <c r="F1" s="79"/>
      <c r="G1" s="79"/>
      <c r="H1" s="79"/>
      <c r="I1" s="79"/>
    </row>
    <row r="2" spans="2:9" ht="21.75" customHeight="1" x14ac:dyDescent="0.25">
      <c r="B2" s="55" t="s">
        <v>156</v>
      </c>
      <c r="C2" s="55"/>
      <c r="D2" s="55"/>
      <c r="E2" s="55"/>
      <c r="F2" s="55"/>
      <c r="G2" s="55"/>
      <c r="H2" s="55"/>
      <c r="I2" s="55"/>
    </row>
    <row r="3" spans="2:9" ht="7.5" customHeight="1" x14ac:dyDescent="0.25"/>
    <row r="4" spans="2:9" ht="27.75" customHeight="1" x14ac:dyDescent="0.25">
      <c r="B4" s="23" t="s">
        <v>157</v>
      </c>
      <c r="C4" s="22" t="s">
        <v>158</v>
      </c>
      <c r="D4" s="22" t="s">
        <v>159</v>
      </c>
      <c r="E4" s="22" t="s">
        <v>160</v>
      </c>
      <c r="F4" s="22" t="s">
        <v>161</v>
      </c>
      <c r="G4" s="22" t="s">
        <v>162</v>
      </c>
      <c r="H4" s="22" t="s">
        <v>19</v>
      </c>
      <c r="I4" s="23" t="s">
        <v>163</v>
      </c>
    </row>
    <row r="5" spans="2:9" ht="19.5" customHeight="1" x14ac:dyDescent="0.25">
      <c r="B5" s="5" t="s">
        <v>164</v>
      </c>
      <c r="C5" s="7">
        <v>4285420</v>
      </c>
      <c r="D5" s="7">
        <v>4325120</v>
      </c>
      <c r="E5" s="7">
        <v>45200</v>
      </c>
      <c r="F5" s="7">
        <v>5500</v>
      </c>
      <c r="G5" s="8">
        <f t="shared" ref="G5:G16" si="0">(C5+E5-F5)-D5</f>
        <v>0</v>
      </c>
      <c r="H5" s="10" t="str">
        <f t="shared" ref="H5:H16" si="1">IF(ABS(G5)&lt;=100,"Reconciled","Review")</f>
        <v>Reconciled</v>
      </c>
      <c r="I5" s="44" t="s">
        <v>165</v>
      </c>
    </row>
    <row r="6" spans="2:9" ht="19.5" customHeight="1" x14ac:dyDescent="0.25">
      <c r="B6" s="12" t="s">
        <v>166</v>
      </c>
      <c r="C6" s="14">
        <v>4512880</v>
      </c>
      <c r="D6" s="14">
        <v>4548650</v>
      </c>
      <c r="E6" s="14">
        <v>38770</v>
      </c>
      <c r="F6" s="14">
        <v>3000</v>
      </c>
      <c r="G6" s="15">
        <f t="shared" si="0"/>
        <v>0</v>
      </c>
      <c r="H6" s="17" t="str">
        <f t="shared" si="1"/>
        <v>Reconciled</v>
      </c>
      <c r="I6" s="45" t="s">
        <v>167</v>
      </c>
    </row>
    <row r="7" spans="2:9" ht="19.5" customHeight="1" x14ac:dyDescent="0.25">
      <c r="B7" s="5" t="s">
        <v>168</v>
      </c>
      <c r="C7" s="7">
        <v>4728105</v>
      </c>
      <c r="D7" s="7">
        <v>4765890</v>
      </c>
      <c r="E7" s="7">
        <v>42785</v>
      </c>
      <c r="F7" s="7">
        <v>5000</v>
      </c>
      <c r="G7" s="8">
        <f t="shared" si="0"/>
        <v>0</v>
      </c>
      <c r="H7" s="10" t="str">
        <f t="shared" si="1"/>
        <v>Reconciled</v>
      </c>
      <c r="I7" s="44" t="s">
        <v>169</v>
      </c>
    </row>
    <row r="8" spans="2:9" ht="19.5" customHeight="1" x14ac:dyDescent="0.25">
      <c r="B8" s="12" t="s">
        <v>170</v>
      </c>
      <c r="C8" s="14">
        <v>4950220</v>
      </c>
      <c r="D8" s="14">
        <v>4982940</v>
      </c>
      <c r="E8" s="14">
        <v>35720</v>
      </c>
      <c r="F8" s="14">
        <v>3000</v>
      </c>
      <c r="G8" s="15">
        <f t="shared" si="0"/>
        <v>0</v>
      </c>
      <c r="H8" s="17" t="str">
        <f t="shared" si="1"/>
        <v>Reconciled</v>
      </c>
      <c r="I8" s="45" t="s">
        <v>171</v>
      </c>
    </row>
    <row r="9" spans="2:9" ht="19.5" customHeight="1" x14ac:dyDescent="0.25">
      <c r="B9" s="5" t="s">
        <v>172</v>
      </c>
      <c r="C9" s="7">
        <v>5120885</v>
      </c>
      <c r="D9" s="7">
        <v>5168335</v>
      </c>
      <c r="E9" s="7">
        <v>49450</v>
      </c>
      <c r="F9" s="7">
        <v>2000</v>
      </c>
      <c r="G9" s="8">
        <f t="shared" si="0"/>
        <v>0</v>
      </c>
      <c r="H9" s="10" t="str">
        <f t="shared" si="1"/>
        <v>Reconciled</v>
      </c>
      <c r="I9" s="44" t="s">
        <v>173</v>
      </c>
    </row>
    <row r="10" spans="2:9" ht="19.5" customHeight="1" x14ac:dyDescent="0.25">
      <c r="B10" s="12" t="s">
        <v>174</v>
      </c>
      <c r="C10" s="14">
        <v>5315440</v>
      </c>
      <c r="D10" s="14">
        <v>5360740</v>
      </c>
      <c r="E10" s="14">
        <v>48300</v>
      </c>
      <c r="F10" s="14">
        <v>3000</v>
      </c>
      <c r="G10" s="15">
        <f t="shared" si="0"/>
        <v>0</v>
      </c>
      <c r="H10" s="17" t="str">
        <f t="shared" si="1"/>
        <v>Reconciled</v>
      </c>
      <c r="I10" s="45" t="s">
        <v>175</v>
      </c>
    </row>
    <row r="11" spans="2:9" ht="19.5" customHeight="1" x14ac:dyDescent="0.25">
      <c r="B11" s="5" t="s">
        <v>176</v>
      </c>
      <c r="C11" s="7">
        <v>5498220</v>
      </c>
      <c r="D11" s="7">
        <v>5541610</v>
      </c>
      <c r="E11" s="7">
        <v>46390</v>
      </c>
      <c r="F11" s="7">
        <v>3000</v>
      </c>
      <c r="G11" s="8">
        <f t="shared" si="0"/>
        <v>0</v>
      </c>
      <c r="H11" s="10" t="str">
        <f t="shared" si="1"/>
        <v>Reconciled</v>
      </c>
      <c r="I11" s="44" t="s">
        <v>177</v>
      </c>
    </row>
    <row r="12" spans="2:9" ht="19.5" customHeight="1" x14ac:dyDescent="0.25">
      <c r="B12" s="12" t="s">
        <v>178</v>
      </c>
      <c r="C12" s="14">
        <v>5680150</v>
      </c>
      <c r="D12" s="14">
        <v>5719450</v>
      </c>
      <c r="E12" s="14">
        <v>42300</v>
      </c>
      <c r="F12" s="14">
        <v>3000</v>
      </c>
      <c r="G12" s="15">
        <f t="shared" si="0"/>
        <v>0</v>
      </c>
      <c r="H12" s="17" t="str">
        <f t="shared" si="1"/>
        <v>Reconciled</v>
      </c>
      <c r="I12" s="45" t="s">
        <v>179</v>
      </c>
    </row>
    <row r="13" spans="2:9" ht="19.5" customHeight="1" x14ac:dyDescent="0.25">
      <c r="B13" s="5" t="s">
        <v>180</v>
      </c>
      <c r="C13" s="7">
        <v>5845910</v>
      </c>
      <c r="D13" s="7">
        <v>5883560</v>
      </c>
      <c r="E13" s="7">
        <v>40650</v>
      </c>
      <c r="F13" s="7">
        <v>3000</v>
      </c>
      <c r="G13" s="8">
        <f t="shared" si="0"/>
        <v>0</v>
      </c>
      <c r="H13" s="10" t="str">
        <f t="shared" si="1"/>
        <v>Reconciled</v>
      </c>
      <c r="I13" s="44" t="s">
        <v>181</v>
      </c>
    </row>
    <row r="14" spans="2:9" ht="19.5" customHeight="1" x14ac:dyDescent="0.25">
      <c r="B14" s="12" t="s">
        <v>182</v>
      </c>
      <c r="C14" s="14">
        <v>5990280</v>
      </c>
      <c r="D14" s="14">
        <v>6026430</v>
      </c>
      <c r="E14" s="14">
        <v>39150</v>
      </c>
      <c r="F14" s="14">
        <v>3000</v>
      </c>
      <c r="G14" s="15">
        <f t="shared" si="0"/>
        <v>0</v>
      </c>
      <c r="H14" s="17" t="str">
        <f t="shared" si="1"/>
        <v>Reconciled</v>
      </c>
      <c r="I14" s="45" t="s">
        <v>183</v>
      </c>
    </row>
    <row r="15" spans="2:9" ht="19.5" customHeight="1" x14ac:dyDescent="0.25">
      <c r="B15" s="5" t="s">
        <v>184</v>
      </c>
      <c r="C15" s="7">
        <v>6120450</v>
      </c>
      <c r="D15" s="7">
        <v>6157260</v>
      </c>
      <c r="E15" s="7">
        <v>39810</v>
      </c>
      <c r="F15" s="7">
        <v>3000</v>
      </c>
      <c r="G15" s="8">
        <f t="shared" si="0"/>
        <v>0</v>
      </c>
      <c r="H15" s="10" t="str">
        <f t="shared" si="1"/>
        <v>Reconciled</v>
      </c>
      <c r="I15" s="44" t="s">
        <v>185</v>
      </c>
    </row>
    <row r="16" spans="2:9" ht="19.5" customHeight="1" x14ac:dyDescent="0.25">
      <c r="B16" s="12" t="s">
        <v>186</v>
      </c>
      <c r="C16" s="14">
        <v>6288920</v>
      </c>
      <c r="D16" s="14">
        <v>6328290</v>
      </c>
      <c r="E16" s="14">
        <v>42370</v>
      </c>
      <c r="F16" s="14">
        <v>3000</v>
      </c>
      <c r="G16" s="15">
        <f t="shared" si="0"/>
        <v>0</v>
      </c>
      <c r="H16" s="17" t="str">
        <f t="shared" si="1"/>
        <v>Reconciled</v>
      </c>
      <c r="I16" s="45" t="s">
        <v>187</v>
      </c>
    </row>
    <row r="17" spans="2:9" ht="25.5" customHeight="1" x14ac:dyDescent="0.25">
      <c r="B17" s="18" t="s">
        <v>39</v>
      </c>
      <c r="C17" s="19">
        <f>SUM(C5:C16)</f>
        <v>64336880</v>
      </c>
      <c r="D17" s="19">
        <f>SUM(D5:D16)</f>
        <v>64808275</v>
      </c>
      <c r="E17" s="19">
        <f>SUM(E5:E16)</f>
        <v>510895</v>
      </c>
      <c r="F17" s="19">
        <f>SUM(F5:F16)</f>
        <v>39500</v>
      </c>
      <c r="G17" s="19">
        <f>SUM(G5:G16)</f>
        <v>0</v>
      </c>
      <c r="H17" s="21" t="s">
        <v>188</v>
      </c>
      <c r="I17" s="18" t="s">
        <v>189</v>
      </c>
    </row>
    <row r="19" spans="2:9" ht="27.75" customHeight="1" x14ac:dyDescent="0.25">
      <c r="B19" s="56" t="s">
        <v>190</v>
      </c>
      <c r="C19" s="56"/>
      <c r="D19" s="56"/>
      <c r="E19" s="56"/>
      <c r="F19" s="56"/>
      <c r="G19" s="56"/>
      <c r="H19" s="56"/>
      <c r="I19" s="56"/>
    </row>
    <row r="20" spans="2:9" ht="21.75" customHeight="1" x14ac:dyDescent="0.25">
      <c r="B20" s="75" t="s">
        <v>191</v>
      </c>
      <c r="C20" s="75"/>
      <c r="D20" s="75"/>
      <c r="E20" s="75"/>
      <c r="F20" s="75"/>
      <c r="G20" s="75"/>
      <c r="H20" s="75"/>
      <c r="I20" s="75"/>
    </row>
    <row r="21" spans="2:9" ht="21.75" customHeight="1" x14ac:dyDescent="0.25">
      <c r="B21" s="76" t="s">
        <v>192</v>
      </c>
      <c r="C21" s="76"/>
      <c r="D21" s="76"/>
      <c r="E21" s="76"/>
      <c r="F21" s="76"/>
      <c r="G21" s="76"/>
      <c r="H21" s="76"/>
      <c r="I21" s="76"/>
    </row>
    <row r="22" spans="2:9" ht="21.75" customHeight="1" x14ac:dyDescent="0.25">
      <c r="B22" s="75" t="s">
        <v>193</v>
      </c>
      <c r="C22" s="75"/>
      <c r="D22" s="75"/>
      <c r="E22" s="75"/>
      <c r="F22" s="75"/>
      <c r="G22" s="75"/>
      <c r="H22" s="75"/>
      <c r="I22" s="75"/>
    </row>
    <row r="23" spans="2:9" ht="21.75" customHeight="1" x14ac:dyDescent="0.25">
      <c r="B23" s="76" t="s">
        <v>194</v>
      </c>
      <c r="C23" s="76"/>
      <c r="D23" s="76"/>
      <c r="E23" s="76"/>
      <c r="F23" s="76"/>
      <c r="G23" s="76"/>
      <c r="H23" s="76"/>
      <c r="I23" s="76"/>
    </row>
    <row r="24" spans="2:9" ht="21.75" customHeight="1" x14ac:dyDescent="0.25">
      <c r="B24" s="75" t="s">
        <v>195</v>
      </c>
      <c r="C24" s="75"/>
      <c r="D24" s="75"/>
      <c r="E24" s="75"/>
      <c r="F24" s="75"/>
      <c r="G24" s="75"/>
      <c r="H24" s="75"/>
      <c r="I24" s="75"/>
    </row>
    <row r="26" spans="2:9" ht="18" customHeight="1" x14ac:dyDescent="0.25">
      <c r="B26" s="57" t="s">
        <v>45</v>
      </c>
      <c r="C26" s="57"/>
      <c r="D26" s="57"/>
      <c r="E26" s="57"/>
      <c r="F26" s="57"/>
      <c r="G26" s="57"/>
      <c r="H26" s="57"/>
      <c r="I26" s="57"/>
    </row>
  </sheetData>
  <mergeCells count="9">
    <mergeCell ref="B22:I22"/>
    <mergeCell ref="B23:I23"/>
    <mergeCell ref="B24:I24"/>
    <mergeCell ref="B26:I26"/>
    <mergeCell ref="B1:I1"/>
    <mergeCell ref="B2:I2"/>
    <mergeCell ref="B19:I19"/>
    <mergeCell ref="B20:I20"/>
    <mergeCell ref="B21:I21"/>
  </mergeCells>
  <conditionalFormatting sqref="H5:H16">
    <cfRule type="expression" dxfId="1" priority="2">
      <formula>EXACT(H5,"Review")</formula>
    </cfRule>
    <cfRule type="expression" dxfId="0" priority="3">
      <formula>EXACT(H5,"Reconciled")</formula>
    </cfRule>
  </conditionalFormatting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J16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0" customWidth="1"/>
    <col min="3" max="4" width="14" customWidth="1"/>
    <col min="5" max="6" width="16" customWidth="1"/>
    <col min="7" max="7" width="3" customWidth="1"/>
    <col min="8" max="10" width="14" customWidth="1"/>
    <col min="11" max="11" width="2" customWidth="1"/>
  </cols>
  <sheetData>
    <row r="1" spans="2:10" ht="31.5" customHeight="1" x14ac:dyDescent="0.25">
      <c r="B1" s="79" t="s">
        <v>196</v>
      </c>
      <c r="C1" s="79"/>
      <c r="D1" s="79"/>
      <c r="E1" s="79"/>
      <c r="F1" s="79"/>
      <c r="G1" s="79"/>
      <c r="H1" s="79"/>
      <c r="I1" s="79"/>
      <c r="J1" s="79"/>
    </row>
    <row r="2" spans="2:10" ht="13.5" customHeight="1" x14ac:dyDescent="0.25"/>
    <row r="3" spans="2:10" ht="25.5" customHeight="1" x14ac:dyDescent="0.25">
      <c r="B3" s="56" t="s">
        <v>197</v>
      </c>
      <c r="C3" s="56"/>
      <c r="D3" s="56"/>
      <c r="E3" s="56"/>
      <c r="F3" s="56"/>
      <c r="H3" s="56" t="s">
        <v>198</v>
      </c>
      <c r="I3" s="56"/>
      <c r="J3" s="56"/>
    </row>
    <row r="4" spans="2:10" ht="24" customHeight="1" x14ac:dyDescent="0.25">
      <c r="B4" s="23" t="s">
        <v>199</v>
      </c>
      <c r="C4" s="22" t="s">
        <v>200</v>
      </c>
      <c r="D4" s="22" t="s">
        <v>201</v>
      </c>
      <c r="E4" s="22" t="s">
        <v>50</v>
      </c>
      <c r="F4" s="22" t="s">
        <v>202</v>
      </c>
      <c r="H4" s="1" t="s">
        <v>13</v>
      </c>
      <c r="I4" s="3" t="s">
        <v>200</v>
      </c>
      <c r="J4" s="3" t="s">
        <v>201</v>
      </c>
    </row>
    <row r="5" spans="2:10" ht="19.5" customHeight="1" x14ac:dyDescent="0.25">
      <c r="B5" s="5" t="s">
        <v>203</v>
      </c>
      <c r="C5" s="7">
        <f>SUMIFS(Transactions!F:F,Transactions!C:C,"GF-001",Transactions!E:E,"Outflow")</f>
        <v>315548</v>
      </c>
      <c r="D5" s="9">
        <f t="shared" ref="D5:D12" si="0">IFERROR(C5/C$13,0)</f>
        <v>0.1286350695135195</v>
      </c>
      <c r="E5" s="7">
        <v>1250000</v>
      </c>
      <c r="F5" s="8">
        <f t="shared" ref="F5:F13" si="1">E5-C5</f>
        <v>934452</v>
      </c>
      <c r="H5" s="46" t="s">
        <v>22</v>
      </c>
      <c r="I5" s="7">
        <f>SUMIFS(Transactions!F:F,Transactions!C:C,"GF-001",Transactions!E:E,"Outflow")+SUMIFS(Transactions!F:F,Transactions!C:C,"TR-101",Transactions!E:E,"Outflow")+SUMIFS(Transactions!F:F,Transactions!C:C,"CM-440",Transactions!E:E,"Outflow")+SUMIFS(Transactions!F:F,Transactions!C:C,"OP-220",Transactions!E:E,"Outflow")</f>
        <v>812844</v>
      </c>
      <c r="J5" s="9">
        <f>IFERROR(I5/I$8,0)</f>
        <v>0.33136082131291356</v>
      </c>
    </row>
    <row r="6" spans="2:10" ht="19.5" customHeight="1" x14ac:dyDescent="0.25">
      <c r="B6" s="12" t="s">
        <v>204</v>
      </c>
      <c r="C6" s="14">
        <f>SUMIFS(Transactions!F:F,Transactions!C:C,"FG-204",Transactions!E:E,"Outflow")</f>
        <v>368229</v>
      </c>
      <c r="D6" s="16">
        <f t="shared" si="0"/>
        <v>0.15011080093010817</v>
      </c>
      <c r="E6" s="14">
        <v>850000</v>
      </c>
      <c r="F6" s="15">
        <f t="shared" si="1"/>
        <v>481771</v>
      </c>
      <c r="H6" s="47" t="s">
        <v>25</v>
      </c>
      <c r="I6" s="14">
        <f>SUMIFS(Transactions!F:F,Transactions!C:C,"FG-204",Transactions!E:E,"Outflow")+SUMIFS(Transactions!F:F,Transactions!C:C,"FG-315",Transactions!E:E,"Outflow")+SUMIFS(Transactions!F:F,Transactions!C:C,"SG-112",Transactions!E:E,"Outflow")</f>
        <v>1543401</v>
      </c>
      <c r="J6" s="16">
        <f>IFERROR(I6/I$8,0)</f>
        <v>0.62917684448082545</v>
      </c>
    </row>
    <row r="7" spans="2:10" ht="19.5" customHeight="1" x14ac:dyDescent="0.25">
      <c r="B7" s="5" t="s">
        <v>205</v>
      </c>
      <c r="C7" s="7">
        <f>SUMIFS(Transactions!F:F,Transactions!C:C,"FG-315",Transactions!E:E,"Outflow")</f>
        <v>275434</v>
      </c>
      <c r="D7" s="9">
        <f t="shared" si="0"/>
        <v>0.1122823524040296</v>
      </c>
      <c r="E7" s="7">
        <v>620000</v>
      </c>
      <c r="F7" s="8">
        <f t="shared" si="1"/>
        <v>344566</v>
      </c>
      <c r="H7" s="46" t="s">
        <v>32</v>
      </c>
      <c r="I7" s="7">
        <f>SUMIFS(Transactions!F:F,Transactions!C:C,"EV-050",Transactions!E:E,"Outflow")</f>
        <v>96803</v>
      </c>
      <c r="J7" s="9">
        <f>IFERROR(I7/I$8,0)</f>
        <v>3.9462334206260948E-2</v>
      </c>
    </row>
    <row r="8" spans="2:10" ht="25.5" customHeight="1" x14ac:dyDescent="0.25">
      <c r="B8" s="12" t="s">
        <v>206</v>
      </c>
      <c r="C8" s="14">
        <f>SUMIFS(Transactions!F:F,Transactions!C:C,"TR-101",Transactions!E:E,"Outflow")</f>
        <v>36476</v>
      </c>
      <c r="D8" s="16">
        <f t="shared" si="0"/>
        <v>1.4869664189204613E-2</v>
      </c>
      <c r="E8" s="14">
        <v>185000</v>
      </c>
      <c r="F8" s="15">
        <f t="shared" si="1"/>
        <v>148524</v>
      </c>
      <c r="H8" s="18" t="s">
        <v>39</v>
      </c>
      <c r="I8" s="19">
        <f>SUM(I5:I7)</f>
        <v>2453048</v>
      </c>
      <c r="J8" s="21" t="s">
        <v>207</v>
      </c>
    </row>
    <row r="9" spans="2:10" ht="19.5" customHeight="1" x14ac:dyDescent="0.25">
      <c r="B9" s="5" t="s">
        <v>208</v>
      </c>
      <c r="C9" s="7">
        <f>SUMIFS(Transactions!F:F,Transactions!C:C,"EV-050",Transactions!E:E,"Outflow")</f>
        <v>96803</v>
      </c>
      <c r="D9" s="9">
        <f t="shared" si="0"/>
        <v>3.9462334206260948E-2</v>
      </c>
      <c r="E9" s="7">
        <v>60000</v>
      </c>
      <c r="F9" s="8">
        <f t="shared" si="1"/>
        <v>-36803</v>
      </c>
    </row>
    <row r="10" spans="2:10" ht="19.5" customHeight="1" x14ac:dyDescent="0.25">
      <c r="B10" s="12" t="s">
        <v>209</v>
      </c>
      <c r="C10" s="14">
        <f>SUMIFS(Transactions!F:F,Transactions!C:C,"CM-440",Transactions!E:E,"Outflow")</f>
        <v>132688</v>
      </c>
      <c r="D10" s="16">
        <f t="shared" si="0"/>
        <v>5.409107363573807E-2</v>
      </c>
      <c r="E10" s="14">
        <v>425000</v>
      </c>
      <c r="F10" s="15">
        <f t="shared" si="1"/>
        <v>292312</v>
      </c>
    </row>
    <row r="11" spans="2:10" ht="19.5" customHeight="1" x14ac:dyDescent="0.25">
      <c r="B11" s="5" t="s">
        <v>210</v>
      </c>
      <c r="C11" s="7">
        <f>SUMIFS(Transactions!F:F,Transactions!C:C,"SG-112",Transactions!E:E,"Outflow")</f>
        <v>899738</v>
      </c>
      <c r="D11" s="9">
        <f t="shared" si="0"/>
        <v>0.36678369114668774</v>
      </c>
      <c r="E11" s="7">
        <v>1150000</v>
      </c>
      <c r="F11" s="8">
        <f t="shared" si="1"/>
        <v>250262</v>
      </c>
    </row>
    <row r="12" spans="2:10" ht="19.5" customHeight="1" x14ac:dyDescent="0.25">
      <c r="B12" s="12" t="s">
        <v>211</v>
      </c>
      <c r="C12" s="14">
        <f>SUMIFS(Transactions!F:F,Transactions!C:C,"OP-220",Transactions!E:E,"Outflow")</f>
        <v>328132</v>
      </c>
      <c r="D12" s="16">
        <f t="shared" si="0"/>
        <v>0.13376501397445137</v>
      </c>
      <c r="E12" s="14">
        <v>980000</v>
      </c>
      <c r="F12" s="15">
        <f t="shared" si="1"/>
        <v>651868</v>
      </c>
    </row>
    <row r="13" spans="2:10" ht="25.5" customHeight="1" x14ac:dyDescent="0.25">
      <c r="B13" s="18" t="s">
        <v>39</v>
      </c>
      <c r="C13" s="19">
        <f>SUM(C5:C12)</f>
        <v>2453048</v>
      </c>
      <c r="D13" s="21" t="s">
        <v>207</v>
      </c>
      <c r="E13" s="19">
        <f>SUM(E5:E12)</f>
        <v>5520000</v>
      </c>
      <c r="F13" s="19">
        <f t="shared" si="1"/>
        <v>3066952</v>
      </c>
    </row>
    <row r="16" spans="2:10" ht="18" customHeight="1" x14ac:dyDescent="0.25">
      <c r="B16" s="57" t="s">
        <v>45</v>
      </c>
      <c r="C16" s="57"/>
      <c r="D16" s="57"/>
      <c r="E16" s="57"/>
      <c r="F16" s="57"/>
      <c r="G16" s="57"/>
      <c r="H16" s="57"/>
      <c r="I16" s="57"/>
      <c r="J16" s="57"/>
    </row>
  </sheetData>
  <mergeCells count="4">
    <mergeCell ref="B1:J1"/>
    <mergeCell ref="B3:F3"/>
    <mergeCell ref="H3:J3"/>
    <mergeCell ref="B16:J16"/>
  </mergeCells>
  <printOptions horizontalCentered="1"/>
  <pageMargins left="0.4" right="0.4" top="0.5" bottom="0.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"/>
  <sheetViews>
    <sheetView showGridLines="0" zoomScaleNormal="100" workbookViewId="0"/>
  </sheetViews>
  <sheetFormatPr defaultColWidth="8.7109375" defaultRowHeight="15" x14ac:dyDescent="0.25"/>
  <sheetData>
    <row r="1" spans="1:14" x14ac:dyDescent="0.25">
      <c r="A1" s="48" t="s">
        <v>199</v>
      </c>
      <c r="B1" s="49" t="s">
        <v>212</v>
      </c>
      <c r="C1" s="49" t="s">
        <v>200</v>
      </c>
      <c r="E1" s="48" t="s">
        <v>13</v>
      </c>
      <c r="F1" s="49" t="s">
        <v>200</v>
      </c>
      <c r="H1" s="49" t="s">
        <v>157</v>
      </c>
      <c r="I1" s="49" t="s">
        <v>212</v>
      </c>
      <c r="J1" s="49" t="s">
        <v>200</v>
      </c>
      <c r="K1" s="49" t="s">
        <v>213</v>
      </c>
      <c r="M1" s="49" t="s">
        <v>157</v>
      </c>
      <c r="N1" s="49" t="s">
        <v>162</v>
      </c>
    </row>
    <row r="2" spans="1:14" x14ac:dyDescent="0.25">
      <c r="A2" s="50" t="s">
        <v>20</v>
      </c>
      <c r="B2" s="51">
        <f>Dashboard!F12</f>
        <v>668000</v>
      </c>
      <c r="C2" s="51">
        <f>Dashboard!G12</f>
        <v>315548</v>
      </c>
      <c r="E2" s="50" t="s">
        <v>22</v>
      </c>
      <c r="F2" s="51">
        <f>'Pivot Summary'!I5</f>
        <v>812844</v>
      </c>
      <c r="H2" s="52" t="s">
        <v>214</v>
      </c>
      <c r="I2" s="51">
        <f>SUMIFS(Transactions!F:F,Transactions!B:B,"&gt;="&amp;DATE(2025,1,1),Transactions!B:B,"&lt;"&amp;DATE(2025,1+1,1),Transactions!E:E,"Inflow")</f>
        <v>590000</v>
      </c>
      <c r="J2" s="51">
        <f>SUMIFS(Transactions!F:F,Transactions!B:B,"&gt;="&amp;DATE(2025,1,1),Transactions!B:B,"&lt;"&amp;DATE(2025,1+1,1),Transactions!E:E,"Outflow")</f>
        <v>83148</v>
      </c>
      <c r="K2" s="53">
        <f t="shared" ref="K2:K13" si="0">I2-J2</f>
        <v>506852</v>
      </c>
      <c r="M2" s="50" t="str">
        <f>Reconciliation!B5</f>
        <v>January 2025</v>
      </c>
      <c r="N2" s="51">
        <f>Reconciliation!G5</f>
        <v>0</v>
      </c>
    </row>
    <row r="3" spans="1:14" x14ac:dyDescent="0.25">
      <c r="A3" s="50" t="s">
        <v>23</v>
      </c>
      <c r="B3" s="51">
        <f>Dashboard!F13</f>
        <v>370000</v>
      </c>
      <c r="C3" s="51">
        <f>Dashboard!G13</f>
        <v>368229</v>
      </c>
      <c r="E3" s="50" t="s">
        <v>25</v>
      </c>
      <c r="F3" s="51">
        <f>'Pivot Summary'!I6</f>
        <v>1543401</v>
      </c>
      <c r="H3" s="52" t="s">
        <v>215</v>
      </c>
      <c r="I3" s="51">
        <f>SUMIFS(Transactions!F:F,Transactions!B:B,"&gt;="&amp;DATE(2025,2,1),Transactions!B:B,"&lt;"&amp;DATE(2025,2+1,1),Transactions!E:E,"Inflow")</f>
        <v>122000</v>
      </c>
      <c r="J3" s="51">
        <f>SUMIFS(Transactions!F:F,Transactions!B:B,"&gt;="&amp;DATE(2025,2,1),Transactions!B:B,"&lt;"&amp;DATE(2025,2+1,1),Transactions!E:E,"Outflow")</f>
        <v>263697</v>
      </c>
      <c r="K3" s="53">
        <f t="shared" si="0"/>
        <v>-141697</v>
      </c>
      <c r="M3" s="50" t="str">
        <f>Reconciliation!B6</f>
        <v>February 2025</v>
      </c>
      <c r="N3" s="51">
        <f>Reconciliation!G6</f>
        <v>0</v>
      </c>
    </row>
    <row r="4" spans="1:14" x14ac:dyDescent="0.25">
      <c r="A4" s="50" t="s">
        <v>26</v>
      </c>
      <c r="B4" s="51">
        <f>Dashboard!F14</f>
        <v>260000</v>
      </c>
      <c r="C4" s="51">
        <f>Dashboard!G14</f>
        <v>275434</v>
      </c>
      <c r="E4" s="50" t="s">
        <v>32</v>
      </c>
      <c r="F4" s="51">
        <f>'Pivot Summary'!I7</f>
        <v>96803</v>
      </c>
      <c r="H4" s="52" t="s">
        <v>216</v>
      </c>
      <c r="I4" s="51">
        <f>SUMIFS(Transactions!F:F,Transactions!B:B,"&gt;="&amp;DATE(2025,3,1),Transactions!B:B,"&lt;"&amp;DATE(2025,3+1,1),Transactions!E:E,"Inflow")</f>
        <v>280000</v>
      </c>
      <c r="J4" s="51">
        <f>SUMIFS(Transactions!F:F,Transactions!B:B,"&gt;="&amp;DATE(2025,3,1),Transactions!B:B,"&lt;"&amp;DATE(2025,3+1,1),Transactions!E:E,"Outflow")</f>
        <v>333053</v>
      </c>
      <c r="K4" s="53">
        <f t="shared" si="0"/>
        <v>-53053</v>
      </c>
      <c r="M4" s="50" t="str">
        <f>Reconciliation!B7</f>
        <v>March 2025</v>
      </c>
      <c r="N4" s="51">
        <f>Reconciliation!G7</f>
        <v>0</v>
      </c>
    </row>
    <row r="5" spans="1:14" x14ac:dyDescent="0.25">
      <c r="A5" s="50" t="s">
        <v>28</v>
      </c>
      <c r="B5" s="51">
        <f>Dashboard!F15</f>
        <v>115000</v>
      </c>
      <c r="C5" s="51">
        <f>Dashboard!G15</f>
        <v>36476</v>
      </c>
      <c r="H5" s="52" t="s">
        <v>217</v>
      </c>
      <c r="I5" s="51">
        <f>SUMIFS(Transactions!F:F,Transactions!B:B,"&gt;="&amp;DATE(2025,4,1),Transactions!B:B,"&lt;"&amp;DATE(2025,4+1,1),Transactions!E:E,"Inflow")</f>
        <v>372000</v>
      </c>
      <c r="J5" s="51">
        <f>SUMIFS(Transactions!F:F,Transactions!B:B,"&gt;="&amp;DATE(2025,4,1),Transactions!B:B,"&lt;"&amp;DATE(2025,4+1,1),Transactions!E:E,"Outflow")</f>
        <v>465443</v>
      </c>
      <c r="K5" s="53">
        <f t="shared" si="0"/>
        <v>-93443</v>
      </c>
      <c r="M5" s="50" t="str">
        <f>Reconciliation!B8</f>
        <v>April 2025</v>
      </c>
      <c r="N5" s="51">
        <f>Reconciliation!G8</f>
        <v>0</v>
      </c>
    </row>
    <row r="6" spans="1:14" x14ac:dyDescent="0.25">
      <c r="A6" s="50" t="s">
        <v>30</v>
      </c>
      <c r="B6" s="51">
        <f>Dashboard!F16</f>
        <v>67000</v>
      </c>
      <c r="C6" s="51">
        <f>Dashboard!G16</f>
        <v>96803</v>
      </c>
      <c r="H6" s="52" t="s">
        <v>218</v>
      </c>
      <c r="I6" s="51">
        <f>SUMIFS(Transactions!F:F,Transactions!B:B,"&gt;="&amp;DATE(2025,5,1),Transactions!B:B,"&lt;"&amp;DATE(2025,5+1,1),Transactions!E:E,"Inflow")</f>
        <v>213000</v>
      </c>
      <c r="J6" s="51">
        <f>SUMIFS(Transactions!F:F,Transactions!B:B,"&gt;="&amp;DATE(2025,5,1),Transactions!B:B,"&lt;"&amp;DATE(2025,5+1,1),Transactions!E:E,"Outflow")</f>
        <v>245411</v>
      </c>
      <c r="K6" s="53">
        <f t="shared" si="0"/>
        <v>-32411</v>
      </c>
      <c r="M6" s="50" t="str">
        <f>Reconciliation!B9</f>
        <v>May 2025</v>
      </c>
      <c r="N6" s="51">
        <f>Reconciliation!G9</f>
        <v>0</v>
      </c>
    </row>
    <row r="7" spans="1:14" x14ac:dyDescent="0.25">
      <c r="A7" s="50" t="s">
        <v>33</v>
      </c>
      <c r="B7" s="51">
        <f>Dashboard!F17</f>
        <v>195000</v>
      </c>
      <c r="C7" s="51">
        <f>Dashboard!G17</f>
        <v>132688</v>
      </c>
      <c r="H7" s="52" t="s">
        <v>219</v>
      </c>
      <c r="I7" s="51">
        <f>SUMIFS(Transactions!F:F,Transactions!B:B,"&gt;="&amp;DATE(2025,6,1),Transactions!B:B,"&lt;"&amp;DATE(2025,6+1,1),Transactions!E:E,"Inflow")</f>
        <v>310000</v>
      </c>
      <c r="J7" s="51">
        <f>SUMIFS(Transactions!F:F,Transactions!B:B,"&gt;="&amp;DATE(2025,6,1),Transactions!B:B,"&lt;"&amp;DATE(2025,6+1,1),Transactions!E:E,"Outflow")</f>
        <v>113723</v>
      </c>
      <c r="K7" s="53">
        <f t="shared" si="0"/>
        <v>196277</v>
      </c>
      <c r="M7" s="50" t="str">
        <f>Reconciliation!B10</f>
        <v>June 2025</v>
      </c>
      <c r="N7" s="51">
        <f>Reconciliation!G10</f>
        <v>0</v>
      </c>
    </row>
    <row r="8" spans="1:14" x14ac:dyDescent="0.25">
      <c r="A8" s="50" t="s">
        <v>35</v>
      </c>
      <c r="B8" s="51">
        <f>Dashboard!F18</f>
        <v>1140000</v>
      </c>
      <c r="C8" s="51">
        <f>Dashboard!G18</f>
        <v>899738</v>
      </c>
      <c r="H8" s="52" t="s">
        <v>220</v>
      </c>
      <c r="I8" s="51">
        <f>SUMIFS(Transactions!F:F,Transactions!B:B,"&gt;="&amp;DATE(2025,7,1),Transactions!B:B,"&lt;"&amp;DATE(2025,7+1,1),Transactions!E:E,"Inflow")</f>
        <v>0</v>
      </c>
      <c r="J8" s="51">
        <f>SUMIFS(Transactions!F:F,Transactions!B:B,"&gt;="&amp;DATE(2025,7,1),Transactions!B:B,"&lt;"&amp;DATE(2025,7+1,1),Transactions!E:E,"Outflow")</f>
        <v>109065</v>
      </c>
      <c r="K8" s="53">
        <f t="shared" si="0"/>
        <v>-109065</v>
      </c>
      <c r="M8" s="50" t="str">
        <f>Reconciliation!B11</f>
        <v>July 2025</v>
      </c>
      <c r="N8" s="51">
        <f>Reconciliation!G11</f>
        <v>0</v>
      </c>
    </row>
    <row r="9" spans="1:14" x14ac:dyDescent="0.25">
      <c r="A9" s="50" t="s">
        <v>37</v>
      </c>
      <c r="B9" s="51">
        <f>Dashboard!F19</f>
        <v>555000</v>
      </c>
      <c r="C9" s="51">
        <f>Dashboard!G19</f>
        <v>328132</v>
      </c>
      <c r="H9" s="52" t="s">
        <v>221</v>
      </c>
      <c r="I9" s="51">
        <f>SUMIFS(Transactions!F:F,Transactions!B:B,"&gt;="&amp;DATE(2025,8,1),Transactions!B:B,"&lt;"&amp;DATE(2025,8+1,1),Transactions!E:E,"Inflow")</f>
        <v>703000</v>
      </c>
      <c r="J9" s="51">
        <f>SUMIFS(Transactions!F:F,Transactions!B:B,"&gt;="&amp;DATE(2025,8,1),Transactions!B:B,"&lt;"&amp;DATE(2025,8+1,1),Transactions!E:E,"Outflow")</f>
        <v>357830</v>
      </c>
      <c r="K9" s="53">
        <f t="shared" si="0"/>
        <v>345170</v>
      </c>
      <c r="M9" s="50" t="str">
        <f>Reconciliation!B12</f>
        <v>August 2025</v>
      </c>
      <c r="N9" s="51">
        <f>Reconciliation!G12</f>
        <v>0</v>
      </c>
    </row>
    <row r="10" spans="1:14" x14ac:dyDescent="0.25">
      <c r="H10" s="52" t="s">
        <v>222</v>
      </c>
      <c r="I10" s="51">
        <f>SUMIFS(Transactions!F:F,Transactions!B:B,"&gt;="&amp;DATE(2025,9,1),Transactions!B:B,"&lt;"&amp;DATE(2025,9+1,1),Transactions!E:E,"Inflow")</f>
        <v>395000</v>
      </c>
      <c r="J10" s="51">
        <f>SUMIFS(Transactions!F:F,Transactions!B:B,"&gt;="&amp;DATE(2025,9,1),Transactions!B:B,"&lt;"&amp;DATE(2025,9+1,1),Transactions!E:E,"Outflow")</f>
        <v>395413</v>
      </c>
      <c r="K10" s="53">
        <f t="shared" si="0"/>
        <v>-413</v>
      </c>
      <c r="M10" s="50" t="str">
        <f>Reconciliation!B13</f>
        <v>September 2025</v>
      </c>
      <c r="N10" s="51">
        <f>Reconciliation!G13</f>
        <v>0</v>
      </c>
    </row>
    <row r="11" spans="1:14" x14ac:dyDescent="0.25">
      <c r="H11" s="52" t="s">
        <v>223</v>
      </c>
      <c r="I11" s="51">
        <f>SUMIFS(Transactions!F:F,Transactions!B:B,"&gt;="&amp;DATE(2025,10,1),Transactions!B:B,"&lt;"&amp;DATE(2025,10+1,1),Transactions!E:E,"Inflow")</f>
        <v>385000</v>
      </c>
      <c r="J11" s="51">
        <f>SUMIFS(Transactions!F:F,Transactions!B:B,"&gt;="&amp;DATE(2025,10,1),Transactions!B:B,"&lt;"&amp;DATE(2025,10+1,1),Transactions!E:E,"Outflow")</f>
        <v>86265</v>
      </c>
      <c r="K11" s="53">
        <f t="shared" si="0"/>
        <v>298735</v>
      </c>
      <c r="M11" s="50" t="str">
        <f>Reconciliation!B14</f>
        <v>October 2025</v>
      </c>
      <c r="N11" s="51">
        <f>Reconciliation!G14</f>
        <v>0</v>
      </c>
    </row>
    <row r="12" spans="1:14" x14ac:dyDescent="0.25">
      <c r="H12" s="52" t="s">
        <v>224</v>
      </c>
      <c r="I12" s="51">
        <f>SUMIFS(Transactions!F:F,Transactions!B:B,"&gt;="&amp;DATE(2025,11,1),Transactions!B:B,"&lt;"&amp;DATE(2025,11+1,1),Transactions!E:E,"Inflow")</f>
        <v>0</v>
      </c>
      <c r="J12" s="51">
        <f>SUMIFS(Transactions!F:F,Transactions!B:B,"&gt;="&amp;DATE(2025,11,1),Transactions!B:B,"&lt;"&amp;DATE(2025,11+1,1),Transactions!E:E,"Outflow")</f>
        <v>0</v>
      </c>
      <c r="K12" s="53">
        <f t="shared" si="0"/>
        <v>0</v>
      </c>
      <c r="M12" s="50" t="str">
        <f>Reconciliation!B15</f>
        <v>November 2025</v>
      </c>
      <c r="N12" s="51">
        <f>Reconciliation!G15</f>
        <v>0</v>
      </c>
    </row>
    <row r="13" spans="1:14" x14ac:dyDescent="0.25">
      <c r="H13" s="52" t="s">
        <v>225</v>
      </c>
      <c r="I13" s="51">
        <f>SUMIFS(Transactions!F:F,Transactions!B:B,"&gt;="&amp;DATE(2025,12,1),Transactions!B:B,"&lt;"&amp;DATE(2025,12+1,1),Transactions!E:E,"Inflow")</f>
        <v>0</v>
      </c>
      <c r="J13" s="51">
        <f>SUMIFS(Transactions!F:F,Transactions!B:B,"&gt;="&amp;DATE(2025,12,1),Transactions!B:B,"&lt;"&amp;DATE(2025,12+1,1),Transactions!E:E,"Outflow")</f>
        <v>0</v>
      </c>
      <c r="K13" s="53">
        <f t="shared" si="0"/>
        <v>0</v>
      </c>
      <c r="M13" s="50" t="str">
        <f>Reconciliation!B16</f>
        <v>December 2025</v>
      </c>
      <c r="N13" s="51">
        <f>Reconciliation!G16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P80"/>
  <sheetViews>
    <sheetView showGridLines="0" tabSelected="1" topLeftCell="A19" zoomScaleNormal="100" workbookViewId="0">
      <selection activeCell="S33" sqref="S33"/>
    </sheetView>
  </sheetViews>
  <sheetFormatPr defaultColWidth="8.7109375" defaultRowHeight="15" x14ac:dyDescent="0.25"/>
  <cols>
    <col min="1" max="19" width="10" customWidth="1"/>
  </cols>
  <sheetData>
    <row r="1" spans="2:16" ht="12" customHeight="1" x14ac:dyDescent="0.25"/>
    <row r="2" spans="2:16" ht="36" customHeight="1" x14ac:dyDescent="0.25">
      <c r="B2" s="54" t="s">
        <v>226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</row>
    <row r="3" spans="2:16" ht="21.75" customHeight="1" x14ac:dyDescent="0.25">
      <c r="B3" s="55" t="s">
        <v>227</v>
      </c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</row>
    <row r="5" spans="2:16" ht="30" customHeight="1" x14ac:dyDescent="0.25">
      <c r="B5" s="56" t="s">
        <v>228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</row>
    <row r="27" spans="2:16" ht="30" customHeight="1" x14ac:dyDescent="0.25">
      <c r="B27" s="56" t="s">
        <v>229</v>
      </c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</row>
    <row r="49" spans="2:16" ht="30" customHeight="1" x14ac:dyDescent="0.25">
      <c r="B49" s="56" t="s">
        <v>230</v>
      </c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</row>
    <row r="71" spans="2:16" ht="30" customHeight="1" x14ac:dyDescent="0.25">
      <c r="B71" s="56" t="s">
        <v>231</v>
      </c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</row>
    <row r="72" spans="2:16" ht="7.5" customHeight="1" x14ac:dyDescent="0.25"/>
    <row r="73" spans="2:16" ht="21.75" customHeight="1" x14ac:dyDescent="0.25">
      <c r="B73" s="59" t="s">
        <v>232</v>
      </c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</row>
    <row r="74" spans="2:16" ht="21.75" customHeight="1" x14ac:dyDescent="0.25">
      <c r="B74" s="60" t="s">
        <v>233</v>
      </c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</row>
    <row r="75" spans="2:16" ht="21.75" customHeight="1" x14ac:dyDescent="0.25">
      <c r="B75" s="59" t="s">
        <v>234</v>
      </c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</row>
    <row r="76" spans="2:16" ht="21.75" customHeight="1" x14ac:dyDescent="0.25">
      <c r="B76" s="60" t="s">
        <v>235</v>
      </c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</row>
    <row r="79" spans="2:16" ht="18" customHeight="1" x14ac:dyDescent="0.25">
      <c r="B79" s="57" t="s">
        <v>45</v>
      </c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</row>
    <row r="80" spans="2:16" ht="15.75" customHeight="1" x14ac:dyDescent="0.25">
      <c r="B80" s="58" t="s">
        <v>46</v>
      </c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</row>
  </sheetData>
  <mergeCells count="12">
    <mergeCell ref="B79:P79"/>
    <mergeCell ref="B80:P80"/>
    <mergeCell ref="B71:P71"/>
    <mergeCell ref="B73:P73"/>
    <mergeCell ref="B74:P74"/>
    <mergeCell ref="B75:P75"/>
    <mergeCell ref="B76:P76"/>
    <mergeCell ref="B2:P2"/>
    <mergeCell ref="B3:P3"/>
    <mergeCell ref="B5:P5"/>
    <mergeCell ref="B27:P27"/>
    <mergeCell ref="B49:P49"/>
  </mergeCells>
  <printOptions horizontalCentered="1"/>
  <pageMargins left="0.4" right="0.4" top="0.5" bottom="0.5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Fund Register</vt:lpstr>
      <vt:lpstr>Transactions</vt:lpstr>
      <vt:lpstr>Reconciliation</vt:lpstr>
      <vt:lpstr>Pivot Summary</vt:lpstr>
      <vt:lpstr>_ChartData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Thomas McCoy</cp:lastModifiedBy>
  <cp:revision>1</cp:revision>
  <dcterms:created xsi:type="dcterms:W3CDTF">2026-04-18T19:56:33Z</dcterms:created>
  <dcterms:modified xsi:type="dcterms:W3CDTF">2026-04-18T20:06:29Z</dcterms:modified>
  <dc:language>en-US</dc:language>
</cp:coreProperties>
</file>