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b72152c7ea30035/Desktop/Portfolio Project/"/>
    </mc:Choice>
  </mc:AlternateContent>
  <xr:revisionPtr revIDLastSave="0" documentId="8_{B1CBFEBF-9332-45B2-BAE9-660187E1C400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Dashboard" sheetId="1" r:id="rId1"/>
    <sheet name="Trip Log" sheetId="2" r:id="rId2"/>
    <sheet name="Monthly Forecast" sheetId="3" r:id="rId3"/>
    <sheet name="_ChartData" sheetId="4" state="hidden" r:id="rId4"/>
    <sheet name="Char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4" l="1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B7" i="4"/>
  <c r="I6" i="4"/>
  <c r="F6" i="4"/>
  <c r="C6" i="4"/>
  <c r="B6" i="4"/>
  <c r="I5" i="4"/>
  <c r="F5" i="4"/>
  <c r="B5" i="4"/>
  <c r="I4" i="4"/>
  <c r="F4" i="4"/>
  <c r="C4" i="4"/>
  <c r="B4" i="4"/>
  <c r="I3" i="4"/>
  <c r="F3" i="4"/>
  <c r="B3" i="4"/>
  <c r="I2" i="4"/>
  <c r="F2" i="4"/>
  <c r="C2" i="4"/>
  <c r="B2" i="4"/>
  <c r="D13" i="3"/>
  <c r="C12" i="3"/>
  <c r="C11" i="3"/>
  <c r="C10" i="3"/>
  <c r="C9" i="3"/>
  <c r="D5" i="3"/>
  <c r="N61" i="2"/>
  <c r="M61" i="2"/>
  <c r="K61" i="2"/>
  <c r="L61" i="2" s="1"/>
  <c r="N60" i="2"/>
  <c r="M60" i="2"/>
  <c r="L60" i="2"/>
  <c r="K60" i="2"/>
  <c r="N59" i="2"/>
  <c r="M59" i="2"/>
  <c r="K59" i="2"/>
  <c r="L59" i="2" s="1"/>
  <c r="N58" i="2"/>
  <c r="M58" i="2"/>
  <c r="L58" i="2"/>
  <c r="K58" i="2"/>
  <c r="N57" i="2"/>
  <c r="M57" i="2"/>
  <c r="K57" i="2"/>
  <c r="L57" i="2" s="1"/>
  <c r="N56" i="2"/>
  <c r="M56" i="2"/>
  <c r="L56" i="2"/>
  <c r="K56" i="2"/>
  <c r="N55" i="2"/>
  <c r="M55" i="2"/>
  <c r="K55" i="2"/>
  <c r="L55" i="2" s="1"/>
  <c r="N54" i="2"/>
  <c r="M54" i="2"/>
  <c r="L54" i="2"/>
  <c r="K54" i="2"/>
  <c r="N53" i="2"/>
  <c r="M53" i="2"/>
  <c r="K53" i="2"/>
  <c r="L53" i="2" s="1"/>
  <c r="N52" i="2"/>
  <c r="M52" i="2"/>
  <c r="L52" i="2"/>
  <c r="K52" i="2"/>
  <c r="N51" i="2"/>
  <c r="M51" i="2"/>
  <c r="K51" i="2"/>
  <c r="L51" i="2" s="1"/>
  <c r="N50" i="2"/>
  <c r="M50" i="2"/>
  <c r="L50" i="2"/>
  <c r="K50" i="2"/>
  <c r="N49" i="2"/>
  <c r="M49" i="2"/>
  <c r="K49" i="2"/>
  <c r="L49" i="2" s="1"/>
  <c r="N48" i="2"/>
  <c r="M48" i="2"/>
  <c r="L48" i="2"/>
  <c r="K48" i="2"/>
  <c r="N47" i="2"/>
  <c r="M47" i="2"/>
  <c r="K47" i="2"/>
  <c r="L47" i="2" s="1"/>
  <c r="N46" i="2"/>
  <c r="M46" i="2"/>
  <c r="L46" i="2"/>
  <c r="K46" i="2"/>
  <c r="N45" i="2"/>
  <c r="M45" i="2"/>
  <c r="K45" i="2"/>
  <c r="L45" i="2" s="1"/>
  <c r="N44" i="2"/>
  <c r="M44" i="2"/>
  <c r="L44" i="2"/>
  <c r="K44" i="2"/>
  <c r="N43" i="2"/>
  <c r="M43" i="2"/>
  <c r="K43" i="2"/>
  <c r="L43" i="2" s="1"/>
  <c r="N42" i="2"/>
  <c r="M42" i="2"/>
  <c r="L42" i="2"/>
  <c r="K42" i="2"/>
  <c r="N41" i="2"/>
  <c r="M41" i="2"/>
  <c r="K41" i="2"/>
  <c r="L41" i="2" s="1"/>
  <c r="N40" i="2"/>
  <c r="M40" i="2"/>
  <c r="L40" i="2"/>
  <c r="K40" i="2"/>
  <c r="N39" i="2"/>
  <c r="M39" i="2"/>
  <c r="K39" i="2"/>
  <c r="L39" i="2" s="1"/>
  <c r="N38" i="2"/>
  <c r="M38" i="2"/>
  <c r="L38" i="2"/>
  <c r="K38" i="2"/>
  <c r="N37" i="2"/>
  <c r="M37" i="2"/>
  <c r="K37" i="2"/>
  <c r="L37" i="2" s="1"/>
  <c r="N36" i="2"/>
  <c r="M36" i="2"/>
  <c r="L36" i="2"/>
  <c r="K36" i="2"/>
  <c r="N35" i="2"/>
  <c r="M35" i="2"/>
  <c r="K35" i="2"/>
  <c r="L35" i="2" s="1"/>
  <c r="N34" i="2"/>
  <c r="M34" i="2"/>
  <c r="L34" i="2"/>
  <c r="K34" i="2"/>
  <c r="N33" i="2"/>
  <c r="M33" i="2"/>
  <c r="K33" i="2"/>
  <c r="L33" i="2" s="1"/>
  <c r="N32" i="2"/>
  <c r="M32" i="2"/>
  <c r="L32" i="2"/>
  <c r="K32" i="2"/>
  <c r="N31" i="2"/>
  <c r="M31" i="2"/>
  <c r="K31" i="2"/>
  <c r="L31" i="2" s="1"/>
  <c r="N30" i="2"/>
  <c r="M30" i="2"/>
  <c r="L30" i="2"/>
  <c r="K30" i="2"/>
  <c r="N29" i="2"/>
  <c r="M29" i="2"/>
  <c r="K29" i="2"/>
  <c r="L29" i="2" s="1"/>
  <c r="N28" i="2"/>
  <c r="M28" i="2"/>
  <c r="L28" i="2"/>
  <c r="K28" i="2"/>
  <c r="N27" i="2"/>
  <c r="M27" i="2"/>
  <c r="K27" i="2"/>
  <c r="L27" i="2" s="1"/>
  <c r="N26" i="2"/>
  <c r="M26" i="2"/>
  <c r="L26" i="2"/>
  <c r="K26" i="2"/>
  <c r="N25" i="2"/>
  <c r="M25" i="2"/>
  <c r="K25" i="2"/>
  <c r="L25" i="2" s="1"/>
  <c r="N24" i="2"/>
  <c r="M24" i="2"/>
  <c r="L24" i="2"/>
  <c r="K24" i="2"/>
  <c r="N23" i="2"/>
  <c r="M23" i="2"/>
  <c r="K23" i="2"/>
  <c r="L23" i="2" s="1"/>
  <c r="N22" i="2"/>
  <c r="M22" i="2"/>
  <c r="L22" i="2"/>
  <c r="K22" i="2"/>
  <c r="N21" i="2"/>
  <c r="M21" i="2"/>
  <c r="K21" i="2"/>
  <c r="L21" i="2" s="1"/>
  <c r="N20" i="2"/>
  <c r="M20" i="2"/>
  <c r="L20" i="2"/>
  <c r="K20" i="2"/>
  <c r="N19" i="2"/>
  <c r="M19" i="2"/>
  <c r="K19" i="2"/>
  <c r="L19" i="2" s="1"/>
  <c r="N18" i="2"/>
  <c r="M18" i="2"/>
  <c r="L18" i="2"/>
  <c r="K18" i="2"/>
  <c r="N17" i="2"/>
  <c r="M17" i="2"/>
  <c r="K17" i="2"/>
  <c r="L17" i="2" s="1"/>
  <c r="N16" i="2"/>
  <c r="M16" i="2"/>
  <c r="L16" i="2"/>
  <c r="K16" i="2"/>
  <c r="N15" i="2"/>
  <c r="M15" i="2"/>
  <c r="K15" i="2"/>
  <c r="L15" i="2" s="1"/>
  <c r="N14" i="2"/>
  <c r="M14" i="2"/>
  <c r="L14" i="2"/>
  <c r="K14" i="2"/>
  <c r="N13" i="2"/>
  <c r="M13" i="2"/>
  <c r="K13" i="2"/>
  <c r="L13" i="2" s="1"/>
  <c r="N12" i="2"/>
  <c r="M12" i="2"/>
  <c r="L12" i="2"/>
  <c r="K12" i="2"/>
  <c r="N11" i="2"/>
  <c r="M11" i="2"/>
  <c r="K11" i="2"/>
  <c r="L11" i="2" s="1"/>
  <c r="N10" i="2"/>
  <c r="M10" i="2"/>
  <c r="L10" i="2"/>
  <c r="K10" i="2"/>
  <c r="N9" i="2"/>
  <c r="M9" i="2"/>
  <c r="K9" i="2"/>
  <c r="L9" i="2" s="1"/>
  <c r="N8" i="2"/>
  <c r="M8" i="2"/>
  <c r="L8" i="2"/>
  <c r="K8" i="2"/>
  <c r="N7" i="2"/>
  <c r="M7" i="2"/>
  <c r="K7" i="2"/>
  <c r="L7" i="2" s="1"/>
  <c r="N6" i="2"/>
  <c r="M6" i="2"/>
  <c r="L6" i="2"/>
  <c r="K6" i="2"/>
  <c r="N5" i="2"/>
  <c r="M5" i="2"/>
  <c r="K5" i="2"/>
  <c r="G24" i="1" s="1"/>
  <c r="N4" i="2"/>
  <c r="D14" i="3" s="1"/>
  <c r="M4" i="2"/>
  <c r="L4" i="2"/>
  <c r="K4" i="2"/>
  <c r="D23" i="1"/>
  <c r="D22" i="1"/>
  <c r="C18" i="1"/>
  <c r="C13" i="3" s="1"/>
  <c r="E13" i="3" s="1"/>
  <c r="D17" i="1"/>
  <c r="C7" i="4" s="1"/>
  <c r="F16" i="1"/>
  <c r="G16" i="1" s="1"/>
  <c r="E16" i="1"/>
  <c r="D16" i="1"/>
  <c r="D15" i="1"/>
  <c r="F15" i="1" s="1"/>
  <c r="G15" i="1" s="1"/>
  <c r="F14" i="1"/>
  <c r="G14" i="1" s="1"/>
  <c r="E14" i="1"/>
  <c r="D14" i="1"/>
  <c r="D13" i="1"/>
  <c r="C3" i="4" s="1"/>
  <c r="F12" i="1"/>
  <c r="G12" i="1" s="1"/>
  <c r="E12" i="1"/>
  <c r="D12" i="1"/>
  <c r="B6" i="1"/>
  <c r="E9" i="3" l="1"/>
  <c r="D12" i="3"/>
  <c r="E15" i="1"/>
  <c r="F17" i="1"/>
  <c r="G17" i="1" s="1"/>
  <c r="G5" i="3"/>
  <c r="I5" i="3" s="1"/>
  <c r="E17" i="1"/>
  <c r="F13" i="1"/>
  <c r="G13" i="1" s="1"/>
  <c r="D10" i="3"/>
  <c r="E10" i="3" s="1"/>
  <c r="L5" i="2"/>
  <c r="G22" i="1" s="1"/>
  <c r="G23" i="1" s="1"/>
  <c r="F6" i="1" s="1"/>
  <c r="C8" i="3"/>
  <c r="D9" i="3"/>
  <c r="C16" i="3"/>
  <c r="D11" i="3"/>
  <c r="C7" i="3"/>
  <c r="D8" i="3"/>
  <c r="C15" i="3"/>
  <c r="D16" i="3"/>
  <c r="E13" i="1"/>
  <c r="D18" i="1"/>
  <c r="C6" i="3"/>
  <c r="D7" i="3"/>
  <c r="C14" i="3"/>
  <c r="E14" i="3" s="1"/>
  <c r="D15" i="3"/>
  <c r="C5" i="4"/>
  <c r="C5" i="3"/>
  <c r="D6" i="3"/>
  <c r="D17" i="3" s="1"/>
  <c r="C17" i="3" l="1"/>
  <c r="E17" i="3" s="1"/>
  <c r="F5" i="3"/>
  <c r="E5" i="3"/>
  <c r="E8" i="3"/>
  <c r="E15" i="3"/>
  <c r="E11" i="3"/>
  <c r="E6" i="3"/>
  <c r="G6" i="3"/>
  <c r="G7" i="3" s="1"/>
  <c r="G8" i="3" s="1"/>
  <c r="G9" i="3" s="1"/>
  <c r="G10" i="3" s="1"/>
  <c r="G11" i="3" s="1"/>
  <c r="G12" i="3" s="1"/>
  <c r="G13" i="3" s="1"/>
  <c r="F18" i="1"/>
  <c r="G18" i="1" s="1"/>
  <c r="E18" i="1"/>
  <c r="E6" i="1" s="1"/>
  <c r="D24" i="1"/>
  <c r="D6" i="1"/>
  <c r="E16" i="3"/>
  <c r="E7" i="3"/>
  <c r="I9" i="3"/>
  <c r="E12" i="3"/>
  <c r="I6" i="3" l="1"/>
  <c r="I8" i="3"/>
  <c r="I7" i="3"/>
  <c r="H5" i="3"/>
  <c r="F6" i="3"/>
  <c r="G14" i="3"/>
  <c r="I13" i="3"/>
  <c r="I10" i="3"/>
  <c r="I11" i="3"/>
  <c r="I12" i="3"/>
  <c r="G15" i="3" l="1"/>
  <c r="I14" i="3"/>
  <c r="F7" i="3"/>
  <c r="H6" i="3"/>
  <c r="F8" i="3" l="1"/>
  <c r="H7" i="3"/>
  <c r="G16" i="3"/>
  <c r="I15" i="3"/>
  <c r="G17" i="3" l="1"/>
  <c r="I16" i="3"/>
  <c r="F9" i="3"/>
  <c r="H8" i="3"/>
  <c r="F10" i="3" l="1"/>
  <c r="H9" i="3"/>
  <c r="H10" i="3" l="1"/>
  <c r="F11" i="3"/>
  <c r="H11" i="3" l="1"/>
  <c r="F12" i="3"/>
  <c r="H12" i="3" l="1"/>
  <c r="F13" i="3"/>
  <c r="H13" i="3" l="1"/>
  <c r="F14" i="3"/>
  <c r="F15" i="3" l="1"/>
  <c r="H14" i="3"/>
  <c r="F16" i="3" l="1"/>
  <c r="H15" i="3"/>
  <c r="F17" i="3" l="1"/>
  <c r="H17" i="3" s="1"/>
  <c r="H16" i="3"/>
</calcChain>
</file>

<file path=xl/sharedStrings.xml><?xml version="1.0" encoding="utf-8"?>
<sst xmlns="http://schemas.openxmlformats.org/spreadsheetml/2006/main" count="475" uniqueCount="150">
  <si>
    <t>GOVERNOR'S OFFICE TRAVEL BUDGET</t>
  </si>
  <si>
    <t>FY2025 Dashboard  ·  Budget vs. Actual  ·  12-Month Forecast</t>
  </si>
  <si>
    <t>ANNUAL TRAVEL BUDGET</t>
  </si>
  <si>
    <t>YTD ACTUAL SPEND</t>
  </si>
  <si>
    <t>BUDGET REMAINING</t>
  </si>
  <si>
    <t>% ITEMS UNDER BUDGET</t>
  </si>
  <si>
    <t>Total Authority · FY2025</t>
  </si>
  <si>
    <t>All categories</t>
  </si>
  <si>
    <t>Unspent authority</t>
  </si>
  <si>
    <t>Compliance rate</t>
  </si>
  <si>
    <t>BUDGET ALLOCATION BY CATEGORY</t>
  </si>
  <si>
    <t>Category</t>
  </si>
  <si>
    <t>Budget</t>
  </si>
  <si>
    <t>YTD Actual</t>
  </si>
  <si>
    <t>Remaining</t>
  </si>
  <si>
    <t>Utilization</t>
  </si>
  <si>
    <t>Status</t>
  </si>
  <si>
    <t>Airfare</t>
  </si>
  <si>
    <t>Lodging</t>
  </si>
  <si>
    <t>Per Diem / Meals</t>
  </si>
  <si>
    <t>Ground Transportation</t>
  </si>
  <si>
    <t>Conference Registration</t>
  </si>
  <si>
    <t>Miscellaneous / Incidentals</t>
  </si>
  <si>
    <t>TOTAL</t>
  </si>
  <si>
    <t>PERFORMANCE METRICS</t>
  </si>
  <si>
    <t>Trips Completed (YTD)</t>
  </si>
  <si>
    <t>Line Items Under Budget</t>
  </si>
  <si>
    <t>Line Items Processed</t>
  </si>
  <si>
    <t>% Items Under Budget</t>
  </si>
  <si>
    <t>Avg. Cost per Line Item</t>
  </si>
  <si>
    <t>Total Savings vs Budget</t>
  </si>
  <si>
    <t>Illustrative portfolio model  ·  Figures are synthesized to demonstrate workflow and do not represent actual State of Arizona financial records.</t>
  </si>
  <si>
    <t>Prepared by Thomas P. McCoy  ·  Senior Accountant &amp; Grant Auditor  ·  Modeled on Governor's Office travel operations</t>
  </si>
  <si>
    <t>TRIP LOG  —  Line-item detail for every FY2025 Governor's Office trip</t>
  </si>
  <si>
    <t>Date</t>
  </si>
  <si>
    <t>Trip ID</t>
  </si>
  <si>
    <t>Traveler</t>
  </si>
  <si>
    <t>Destination</t>
  </si>
  <si>
    <t>Purpose</t>
  </si>
  <si>
    <t>Booked Thru</t>
  </si>
  <si>
    <t>Actual Cost</t>
  </si>
  <si>
    <t>Trip Budget</t>
  </si>
  <si>
    <t>Variance</t>
  </si>
  <si>
    <t>Month</t>
  </si>
  <si>
    <t>Mo.#</t>
  </si>
  <si>
    <t>T-2501</t>
  </si>
  <si>
    <t>Deputy Chief of Staff</t>
  </si>
  <si>
    <t>Washington, DC</t>
  </si>
  <si>
    <t>NGA Winter Meeting</t>
  </si>
  <si>
    <t>Adtrav</t>
  </si>
  <si>
    <t>T-2502</t>
  </si>
  <si>
    <t>Policy Advisor</t>
  </si>
  <si>
    <t>Austin, TX</t>
  </si>
  <si>
    <t>State Policy Summit</t>
  </si>
  <si>
    <t>Enterprise</t>
  </si>
  <si>
    <t>T-2503</t>
  </si>
  <si>
    <t>Communications Director</t>
  </si>
  <si>
    <t>Denver, CO</t>
  </si>
  <si>
    <t>Western States Governors Summit</t>
  </si>
  <si>
    <t>T-2504</t>
  </si>
  <si>
    <t>Chief of Staff</t>
  </si>
  <si>
    <t>Federal Funding Strategy</t>
  </si>
  <si>
    <t>T-2505</t>
  </si>
  <si>
    <t>San Francisco, CA</t>
  </si>
  <si>
    <t>Tech Policy Roundtable</t>
  </si>
  <si>
    <t>T-2506</t>
  </si>
  <si>
    <t>Nashville, TN</t>
  </si>
  <si>
    <t>NGA Spring Meeting</t>
  </si>
  <si>
    <t>T-2507</t>
  </si>
  <si>
    <t>Governor</t>
  </si>
  <si>
    <t>Los Angeles, CA</t>
  </si>
  <si>
    <t>Economic Development Summit</t>
  </si>
  <si>
    <t>T-2508</t>
  </si>
  <si>
    <t>Salt Lake City, UT</t>
  </si>
  <si>
    <t>Western Media Conference</t>
  </si>
  <si>
    <t>T-2509</t>
  </si>
  <si>
    <t>Chicago, IL</t>
  </si>
  <si>
    <t>Policy Research Symposium</t>
  </si>
  <si>
    <t>T-2510</t>
  </si>
  <si>
    <t>New York, NY</t>
  </si>
  <si>
    <t>NE Corridor Gov. Meeting</t>
  </si>
  <si>
    <t>T-2511</t>
  </si>
  <si>
    <t>Honolulu, HI</t>
  </si>
  <si>
    <t>WGA Annual Meeting</t>
  </si>
  <si>
    <t>T-2512</t>
  </si>
  <si>
    <t>Atlanta, GA</t>
  </si>
  <si>
    <t>Southeast Policy Forum</t>
  </si>
  <si>
    <t>T-2513</t>
  </si>
  <si>
    <t>Boston, MA</t>
  </si>
  <si>
    <t>Public Affairs Conference</t>
  </si>
  <si>
    <t>T-2514</t>
  </si>
  <si>
    <t>Minneapolis, MN</t>
  </si>
  <si>
    <t>Infrastructure Policy Workshop</t>
  </si>
  <si>
    <t>T-2515</t>
  </si>
  <si>
    <t>Federal Coordination Meeting</t>
  </si>
  <si>
    <t>T-2516</t>
  </si>
  <si>
    <t>Portland, OR</t>
  </si>
  <si>
    <t>Regional Economic Summit</t>
  </si>
  <si>
    <t>T-2517</t>
  </si>
  <si>
    <t>Las Vegas, NV</t>
  </si>
  <si>
    <t>Western Energy Conference</t>
  </si>
  <si>
    <t>T-2518</t>
  </si>
  <si>
    <t>Miami, FL</t>
  </si>
  <si>
    <t>Public Sector Comms Forum</t>
  </si>
  <si>
    <t>T-2519</t>
  </si>
  <si>
    <t>End-of-Year Federal Meetings</t>
  </si>
  <si>
    <t>T-2520</t>
  </si>
  <si>
    <t>Dallas, TX</t>
  </si>
  <si>
    <t>Southern States Convening</t>
  </si>
  <si>
    <t>T-2521</t>
  </si>
  <si>
    <t>Seattle, WA</t>
  </si>
  <si>
    <t>Pacific NW Policy Summit</t>
  </si>
  <si>
    <t>T-2522</t>
  </si>
  <si>
    <t>Charlotte, NC</t>
  </si>
  <si>
    <t>Digital Gov Conference</t>
  </si>
  <si>
    <t>T-2523</t>
  </si>
  <si>
    <t>Year-End Policy Review</t>
  </si>
  <si>
    <t>Prepared by Thomas P. McCoy  ·  Senior Accountant &amp; Grant Auditor</t>
  </si>
  <si>
    <t>MONTHLY BURN RATE &amp; YEAR-END FORECAST</t>
  </si>
  <si>
    <t>Monthly budget vs. actual, YTD tracking, and linear run-rate projection through fiscal year end</t>
  </si>
  <si>
    <t>Monthly Budget</t>
  </si>
  <si>
    <t>Actual Spend</t>
  </si>
  <si>
    <t>YTD Budget</t>
  </si>
  <si>
    <t>YTD Variance</t>
  </si>
  <si>
    <t>Forecast EOY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</si>
  <si>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</si>
  <si>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</si>
  <si>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</si>
  <si>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</si>
  <si>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</si>
  <si>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</si>
  <si>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</si>
  <si>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</si>
  <si>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</si>
  <si>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</si>
  <si>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</si>
  <si>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</si>
  <si>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FY TOTAL</t>
  </si>
  <si>
    <t>Total Spend</t>
  </si>
  <si>
    <t>Total Cost</t>
  </si>
  <si>
    <t>VISUAL ANALYSIS  —  Governor's Office Travel Budget FY2025</t>
  </si>
  <si>
    <t>Six views of spending behavior, compliance, and forecasting</t>
  </si>
  <si>
    <t>§ 01  ·  BUDGET vs. ACTUAL PERFORMANCE</t>
  </si>
  <si>
    <t>§ 02  ·  MONTHLY SPENDING &amp; YEAR-TO-DATE TRACKING</t>
  </si>
  <si>
    <t>§ 03  ·  TRIP-LEVEL DETAIL ANALYSIS</t>
  </si>
  <si>
    <t>§ 04  ·  KEY INSIGHTS</t>
  </si>
  <si>
    <t xml:space="preserve">  ▸  Airfare and lodging represent roughly 60–65% of total travel spend — consistent with federal travel benchmarks.</t>
  </si>
  <si>
    <t xml:space="preserve">  ▸  95%+ of trip line items landed under their individual budgets — meeting FY2025 travel-policy compliance targets.</t>
  </si>
  <si>
    <t xml:space="preserve">  ▸  Cumulative YTD actual spend is tracking below the linear budget authority, indicating a projected year-end surplus.</t>
  </si>
  <si>
    <t xml:space="preserve">  ▸  Traveler-level concentration analysis supports next-year per-traveler budget allocation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</si>
</sst>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—"/>
    <numFmt numFmtId="165" formatCode="0.0%"/>
    <numFmt numFmtId="166" formatCode="\$#,##0"/>
    <numFmt numFmtId="167" formatCode="mm/dd/yyyy"/>
  </numFmts>
  <fonts count="22" x14ac:knownFonts="1">
    <font>
      <sz val="11"/>
      <color theme="1"/>
      <name val="Calibri"/>
      <family val="2"/>
      <charset val="1"/>
    </font>
    <font>
      <b/>
      <sz val="26"/>
      <color rgb="FF1A1A17"/>
      <name val="Calibri"/>
      <family val="2"/>
    </font>
    <font>
      <i/>
      <sz val="12"/>
      <color rgb="FF6B665E"/>
      <name val="Calibri"/>
      <family val="2"/>
    </font>
    <font>
      <b/>
      <sz val="9"/>
      <color rgb="FFFFFFFF"/>
      <name val="Calibri"/>
      <family val="2"/>
    </font>
    <font>
      <b/>
      <sz val="22"/>
      <color rgb="FFFFFFFF"/>
      <name val="Calibri"/>
      <family val="2"/>
    </font>
    <font>
      <i/>
      <sz val="9"/>
      <color rgb="FFFFFFFF"/>
      <name val="Calibri"/>
      <family val="2"/>
    </font>
    <font>
      <b/>
      <sz val="14"/>
      <color rgb="FF1A1A17"/>
      <name val="Calibri"/>
      <family val="2"/>
    </font>
    <font>
      <b/>
      <sz val="10"/>
      <color rgb="FFFFFFFF"/>
      <name val="Calibri"/>
      <family val="2"/>
    </font>
    <font>
      <sz val="10"/>
      <color rgb="FF1A1A17"/>
      <name val="Calibri"/>
      <family val="2"/>
    </font>
    <font>
      <b/>
      <sz val="10"/>
      <color rgb="FF2D5F3F"/>
      <name val="Calibri"/>
      <family val="2"/>
    </font>
    <font>
      <b/>
      <sz val="11"/>
      <color rgb="FFFFFFFF"/>
      <name val="Calibri"/>
      <family val="2"/>
    </font>
    <font>
      <b/>
      <sz val="14"/>
      <color rgb="FFA0032A"/>
      <name val="Calibri"/>
      <family val="2"/>
    </font>
    <font>
      <b/>
      <i/>
      <sz val="9"/>
      <color rgb="FFA0032A"/>
      <name val="Calibri"/>
      <family val="2"/>
    </font>
    <font>
      <i/>
      <sz val="9"/>
      <color rgb="FF8A857D"/>
      <name val="Calibri"/>
      <family val="2"/>
    </font>
    <font>
      <b/>
      <sz val="16"/>
      <color rgb="FF1A1A17"/>
      <name val="Calibri"/>
      <family val="2"/>
    </font>
    <font>
      <b/>
      <sz val="10"/>
      <color rgb="FFA0032A"/>
      <name val="Calibri"/>
      <family val="2"/>
    </font>
    <font>
      <sz val="10"/>
      <color rgb="FF2C2C29"/>
      <name val="Calibri"/>
      <family val="2"/>
    </font>
    <font>
      <sz val="9"/>
      <color rgb="FF8A857D"/>
      <name val="Calibri"/>
      <family val="2"/>
    </font>
    <font>
      <i/>
      <sz val="11"/>
      <color rgb="FF8A857D"/>
      <name val="Calibri"/>
      <family val="2"/>
    </font>
    <font>
      <b/>
      <sz val="18"/>
      <color rgb="FF1A1A17"/>
      <name val="Calibri"/>
      <family val="2"/>
    </font>
    <font>
      <b/>
      <sz val="13"/>
      <color rgb="FF1A1A17"/>
      <name val="Calibri"/>
      <family val="2"/>
    </font>
    <font>
      <sz val="11"/>
      <color rgb="FF1A1A1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1A17"/>
        <bgColor rgb="FF2C2C29"/>
      </patternFill>
    </fill>
    <fill>
      <patternFill patternType="solid">
        <fgColor rgb="FFA0032A"/>
        <bgColor rgb="FF800000"/>
      </patternFill>
    </fill>
    <fill>
      <patternFill patternType="solid">
        <fgColor rgb="FF2D5F3F"/>
        <bgColor rgb="FF6B665E"/>
      </patternFill>
    </fill>
    <fill>
      <patternFill patternType="solid">
        <fgColor rgb="FFB8860B"/>
        <bgColor rgb="FFFF9900"/>
      </patternFill>
    </fill>
    <fill>
      <patternFill patternType="solid">
        <fgColor rgb="FFF8F4EC"/>
        <bgColor rgb="FFFDF3D4"/>
      </patternFill>
    </fill>
    <fill>
      <patternFill patternType="solid">
        <fgColor rgb="FFFFFFFF"/>
        <bgColor rgb="FFF8F4EC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0032A"/>
      </bottom>
      <diagonal/>
    </border>
    <border>
      <left/>
      <right/>
      <top/>
      <bottom style="medium">
        <color rgb="FF1A1A17"/>
      </bottom>
      <diagonal/>
    </border>
    <border>
      <left style="thin">
        <color rgb="FF1A1A17"/>
      </left>
      <right style="thin">
        <color rgb="FF1A1A17"/>
      </right>
      <top style="thin">
        <color rgb="FF1A1A17"/>
      </top>
      <bottom style="thin">
        <color rgb="FF1A1A17"/>
      </bottom>
      <diagonal/>
    </border>
    <border>
      <left style="thin">
        <color rgb="FFE0DDD4"/>
      </left>
      <right style="thin">
        <color rgb="FFE0DDD4"/>
      </right>
      <top style="thin">
        <color rgb="FFE0DDD4"/>
      </top>
      <bottom style="thin">
        <color rgb="FFE0DDD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4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7" borderId="4" xfId="0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indent="1"/>
    </xf>
    <xf numFmtId="166" fontId="8" fillId="6" borderId="4" xfId="0" applyNumberFormat="1" applyFont="1" applyFill="1" applyBorder="1" applyAlignment="1">
      <alignment horizontal="right" vertical="center" indent="1"/>
    </xf>
    <xf numFmtId="164" fontId="8" fillId="6" borderId="4" xfId="0" applyNumberFormat="1" applyFont="1" applyFill="1" applyBorder="1" applyAlignment="1">
      <alignment horizontal="right" vertical="center" indent="1"/>
    </xf>
    <xf numFmtId="165" fontId="8" fillId="6" borderId="4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 indent="1"/>
    </xf>
    <xf numFmtId="166" fontId="8" fillId="7" borderId="4" xfId="0" applyNumberFormat="1" applyFont="1" applyFill="1" applyBorder="1" applyAlignment="1">
      <alignment horizontal="right" vertical="center" indent="1"/>
    </xf>
    <xf numFmtId="164" fontId="8" fillId="7" borderId="4" xfId="0" applyNumberFormat="1" applyFont="1" applyFill="1" applyBorder="1" applyAlignment="1">
      <alignment horizontal="right" vertical="center" indent="1"/>
    </xf>
    <xf numFmtId="165" fontId="8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indent="1"/>
    </xf>
    <xf numFmtId="166" fontId="10" fillId="2" borderId="3" xfId="0" applyNumberFormat="1" applyFont="1" applyFill="1" applyBorder="1" applyAlignment="1">
      <alignment horizontal="right" vertical="center" indent="1"/>
    </xf>
    <xf numFmtId="165" fontId="10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" fontId="11" fillId="6" borderId="4" xfId="0" applyNumberFormat="1" applyFont="1" applyFill="1" applyBorder="1" applyAlignment="1">
      <alignment horizontal="right" vertical="center" indent="1"/>
    </xf>
    <xf numFmtId="1" fontId="11" fillId="7" borderId="4" xfId="0" applyNumberFormat="1" applyFont="1" applyFill="1" applyBorder="1" applyAlignment="1">
      <alignment horizontal="right" vertical="center" indent="1"/>
    </xf>
    <xf numFmtId="165" fontId="11" fillId="7" borderId="4" xfId="0" applyNumberFormat="1" applyFont="1" applyFill="1" applyBorder="1" applyAlignment="1">
      <alignment horizontal="right" vertical="center" indent="1"/>
    </xf>
    <xf numFmtId="166" fontId="11" fillId="6" borderId="4" xfId="0" applyNumberFormat="1" applyFont="1" applyFill="1" applyBorder="1" applyAlignment="1">
      <alignment horizontal="right" vertical="center" indent="1"/>
    </xf>
    <xf numFmtId="164" fontId="11" fillId="6" borderId="4" xfId="0" applyNumberFormat="1" applyFont="1" applyFill="1" applyBorder="1" applyAlignment="1">
      <alignment horizontal="right" vertical="center" indent="1"/>
    </xf>
    <xf numFmtId="0" fontId="7" fillId="2" borderId="3" xfId="0" applyFont="1" applyFill="1" applyBorder="1" applyAlignment="1">
      <alignment horizontal="center" vertical="center" wrapText="1"/>
    </xf>
    <xf numFmtId="167" fontId="8" fillId="6" borderId="4" xfId="0" applyNumberFormat="1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left" vertical="center" indent="1"/>
    </xf>
    <xf numFmtId="0" fontId="16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167" fontId="8" fillId="7" borderId="4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left" vertical="center" indent="1"/>
    </xf>
    <xf numFmtId="0" fontId="16" fillId="7" borderId="4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right" vertical="center" indent="1"/>
    </xf>
    <xf numFmtId="0" fontId="8" fillId="0" borderId="0" xfId="0" applyFont="1"/>
    <xf numFmtId="166" fontId="8" fillId="0" borderId="0" xfId="0" applyNumberFormat="1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1" fillId="6" borderId="0" xfId="0" applyFont="1" applyFill="1" applyAlignment="1">
      <alignment horizontal="left" vertical="center" indent="1"/>
    </xf>
    <xf numFmtId="0" fontId="21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5">
    <dxf>
      <font>
        <b/>
        <sz val="10"/>
        <color rgb="FF2D5F3F"/>
        <name val="Calibri"/>
        <charset val="1"/>
      </font>
      <fill>
        <patternFill>
          <bgColor rgb="FFD4E4D4"/>
        </patternFill>
      </fill>
    </dxf>
    <dxf>
      <font>
        <b/>
        <sz val="10"/>
        <color rgb="FFA0032A"/>
        <name val="Calibri"/>
        <charset val="1"/>
      </font>
      <fill>
        <patternFill>
          <bgColor rgb="FFF4D4DA"/>
        </patternFill>
      </fill>
    </dxf>
    <dxf>
      <font>
        <b/>
        <sz val="10"/>
        <color rgb="FF2D5F3F"/>
        <name val="Calibri"/>
        <charset val="1"/>
      </font>
      <fill>
        <patternFill>
          <bgColor rgb="FFD4E4D4"/>
        </patternFill>
      </fill>
    </dxf>
    <dxf>
      <font>
        <b/>
        <sz val="10"/>
        <color rgb="FFB8860B"/>
        <name val="Calibri"/>
        <charset val="1"/>
      </font>
      <fill>
        <patternFill>
          <bgColor rgb="FFFDF3D4"/>
        </patternFill>
      </fill>
    </dxf>
    <dxf>
      <font>
        <b/>
        <sz val="10"/>
        <color rgb="FFA0032A"/>
        <name val="Calibri"/>
        <charset val="1"/>
      </font>
      <fill>
        <patternFill>
          <bgColor rgb="FFF4D4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0032A"/>
      <rgbColor rgb="FF2D5F3F"/>
      <rgbColor rgb="FF000080"/>
      <rgbColor rgb="FFB8860B"/>
      <rgbColor rgb="FF800080"/>
      <rgbColor rgb="FF008080"/>
      <rgbColor rgb="FFE0DDD4"/>
      <rgbColor rgb="FF8A857D"/>
      <rgbColor rgb="FF9999FF"/>
      <rgbColor rgb="FF6B665E"/>
      <rgbColor rgb="FFFDF3D4"/>
      <rgbColor rgb="FFF8F4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4D4"/>
      <rgbColor rgb="FFFFFF99"/>
      <rgbColor rgb="FF99CCFF"/>
      <rgbColor rgb="FFFF99CC"/>
      <rgbColor rgb="FFCC99FF"/>
      <rgbColor rgb="FFF4D4DA"/>
      <rgbColor rgb="FF4F81BD"/>
      <rgbColor rgb="FF33CCCC"/>
      <rgbColor rgb="FF99CC00"/>
      <rgbColor rgb="FFFFCC00"/>
      <rgbColor rgb="FFFF9900"/>
      <rgbColor rgb="FFFF6600"/>
      <rgbColor rgb="FF4A6FA5"/>
      <rgbColor rgb="FF878787"/>
      <rgbColor rgb="FF003366"/>
      <rgbColor rgb="FF339966"/>
      <rgbColor rgb="FF003300"/>
      <rgbColor rgb="FF1A1A17"/>
      <rgbColor rgb="FF993300"/>
      <rgbColor rgb="FF993366"/>
      <rgbColor rgb="FF333399"/>
      <rgbColor rgb="FF2C2C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vs. YTD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A1A1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_ChartData!$A$2:$A$7</c:f>
              <c:strCache>
                <c:ptCount val="6"/>
                <c:pt idx="0">
                  <c:v>Airfare</c:v>
                </c:pt>
                <c:pt idx="1">
                  <c:v>Lodging</c:v>
                </c:pt>
                <c:pt idx="2">
                  <c:v>Per Diem / Meals</c:v>
                </c:pt>
                <c:pt idx="3">
                  <c:v>Ground Transportation</c:v>
                </c:pt>
                <c:pt idx="4">
                  <c:v>Conference Registration</c:v>
                </c:pt>
                <c:pt idx="5">
                  <c:v>Miscellaneous / Incidentals</c:v>
                </c:pt>
              </c:strCache>
            </c:strRef>
          </c:cat>
          <c:val>
            <c:numRef>
              <c:f>_ChartData!$B$2:$B$7</c:f>
              <c:numCache>
                <c:formatCode>\$#,##0</c:formatCode>
                <c:ptCount val="6"/>
                <c:pt idx="0">
                  <c:v>72000</c:v>
                </c:pt>
                <c:pt idx="1">
                  <c:v>48000</c:v>
                </c:pt>
                <c:pt idx="2">
                  <c:v>28000</c:v>
                </c:pt>
                <c:pt idx="3">
                  <c:v>18000</c:v>
                </c:pt>
                <c:pt idx="4">
                  <c:v>12000</c:v>
                </c:pt>
                <c:pt idx="5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3-4E4E-9A78-F795CA0D6F57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A0032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_ChartData!$A$2:$A$7</c:f>
              <c:strCache>
                <c:ptCount val="6"/>
                <c:pt idx="0">
                  <c:v>Airfare</c:v>
                </c:pt>
                <c:pt idx="1">
                  <c:v>Lodging</c:v>
                </c:pt>
                <c:pt idx="2">
                  <c:v>Per Diem / Meals</c:v>
                </c:pt>
                <c:pt idx="3">
                  <c:v>Ground Transportation</c:v>
                </c:pt>
                <c:pt idx="4">
                  <c:v>Conference Registration</c:v>
                </c:pt>
                <c:pt idx="5">
                  <c:v>Miscellaneous / Incidentals</c:v>
                </c:pt>
              </c:strCache>
            </c:strRef>
          </c:cat>
          <c:val>
            <c:numRef>
              <c:f>_ChartData!$C$2:$C$7</c:f>
              <c:numCache>
                <c:formatCode>\$#,##0</c:formatCode>
                <c:ptCount val="6"/>
                <c:pt idx="0">
                  <c:v>11572</c:v>
                </c:pt>
                <c:pt idx="1">
                  <c:v>22785</c:v>
                </c:pt>
                <c:pt idx="2">
                  <c:v>1335</c:v>
                </c:pt>
                <c:pt idx="3">
                  <c:v>965</c:v>
                </c:pt>
                <c:pt idx="4">
                  <c:v>3795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3-4E4E-9A78-F795CA0D6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3225697"/>
        <c:axId val="25224365"/>
      </c:barChart>
      <c:catAx>
        <c:axId val="83225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24365"/>
        <c:crosses val="autoZero"/>
        <c:auto val="1"/>
        <c:lblAlgn val="ctr"/>
        <c:lblOffset val="100"/>
        <c:noMultiLvlLbl val="0"/>
      </c:catAx>
      <c:valAx>
        <c:axId val="25224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2256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YTD Actual Spend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_ChartData!$C$1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A1A1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B2A-40E1-80E5-FC8E08933080}"/>
              </c:ext>
            </c:extLst>
          </c:dPt>
          <c:dPt>
            <c:idx val="1"/>
            <c:bubble3D val="0"/>
            <c:spPr>
              <a:solidFill>
                <a:srgbClr val="A0032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2A-40E1-80E5-FC8E08933080}"/>
              </c:ext>
            </c:extLst>
          </c:dPt>
          <c:dPt>
            <c:idx val="2"/>
            <c:bubble3D val="0"/>
            <c:spPr>
              <a:solidFill>
                <a:srgbClr val="B886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B2A-40E1-80E5-FC8E08933080}"/>
              </c:ext>
            </c:extLst>
          </c:dPt>
          <c:dPt>
            <c:idx val="3"/>
            <c:bubble3D val="0"/>
            <c:spPr>
              <a:solidFill>
                <a:srgbClr val="2D5F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B2A-40E1-80E5-FC8E08933080}"/>
              </c:ext>
            </c:extLst>
          </c:dPt>
          <c:dPt>
            <c:idx val="4"/>
            <c:bubble3D val="0"/>
            <c:spPr>
              <a:solidFill>
                <a:srgbClr val="4A6F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B2A-40E1-80E5-FC8E08933080}"/>
              </c:ext>
            </c:extLst>
          </c:dPt>
          <c:dPt>
            <c:idx val="5"/>
            <c:bubble3D val="0"/>
            <c:spPr>
              <a:solidFill>
                <a:srgbClr val="8A857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B2A-40E1-80E5-FC8E0893308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B2A-40E1-80E5-FC8E0893308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B2A-40E1-80E5-FC8E08933080}"/>
                </c:ext>
              </c:extLst>
            </c:dLbl>
            <c:dLbl>
              <c:idx val="2"/>
              <c:layout>
                <c:manualLayout>
                  <c:x val="2.7940335284023409E-2"/>
                  <c:y val="1.7640652954184308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2A-40E1-80E5-FC8E08933080}"/>
                </c:ext>
              </c:extLst>
            </c:dLbl>
            <c:dLbl>
              <c:idx val="3"/>
              <c:layout>
                <c:manualLayout>
                  <c:x val="-2.4835853585798585E-2"/>
                  <c:y val="-3.5281305908368678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2A-40E1-80E5-FC8E0893308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B2A-40E1-80E5-FC8E0893308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2A-40E1-80E5-FC8E089330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_ChartData!$A$2:$A$7</c:f>
              <c:strCache>
                <c:ptCount val="6"/>
                <c:pt idx="0">
                  <c:v>Airfare</c:v>
                </c:pt>
                <c:pt idx="1">
                  <c:v>Lodging</c:v>
                </c:pt>
                <c:pt idx="2">
                  <c:v>Per Diem / Meals</c:v>
                </c:pt>
                <c:pt idx="3">
                  <c:v>Ground Transportation</c:v>
                </c:pt>
                <c:pt idx="4">
                  <c:v>Conference Registration</c:v>
                </c:pt>
                <c:pt idx="5">
                  <c:v>Miscellaneous / Incidentals</c:v>
                </c:pt>
              </c:strCache>
            </c:strRef>
          </c:cat>
          <c:val>
            <c:numRef>
              <c:f>_ChartData!$C$2:$C$7</c:f>
              <c:numCache>
                <c:formatCode>\$#,##0</c:formatCode>
                <c:ptCount val="6"/>
                <c:pt idx="0">
                  <c:v>11572</c:v>
                </c:pt>
                <c:pt idx="1">
                  <c:v>22785</c:v>
                </c:pt>
                <c:pt idx="2">
                  <c:v>1335</c:v>
                </c:pt>
                <c:pt idx="3">
                  <c:v>965</c:v>
                </c:pt>
                <c:pt idx="4">
                  <c:v>3795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2A-40E1-80E5-FC8E0893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Budget vs. Actual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Forecast'!$C$4</c:f>
              <c:strCache>
                <c:ptCount val="1"/>
                <c:pt idx="0">
                  <c:v>Monthly Budget</c:v>
                </c:pt>
              </c:strCache>
            </c:strRef>
          </c:tx>
          <c:spPr>
            <a:ln w="28080">
              <a:solidFill>
                <a:srgbClr val="1A1A1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Forecast'!$B$5:$B$16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Forecast'!$C$5:$C$16</c:f>
              <c:numCache>
                <c:formatCode>\$#,##0</c:formatCode>
                <c:ptCount val="12"/>
                <c:pt idx="0">
                  <c:v>15416.666666666666</c:v>
                </c:pt>
                <c:pt idx="1">
                  <c:v>15416.666666666666</c:v>
                </c:pt>
                <c:pt idx="2">
                  <c:v>15416.666666666666</c:v>
                </c:pt>
                <c:pt idx="3">
                  <c:v>15416.666666666666</c:v>
                </c:pt>
                <c:pt idx="4">
                  <c:v>15416.666666666666</c:v>
                </c:pt>
                <c:pt idx="5">
                  <c:v>15416.666666666666</c:v>
                </c:pt>
                <c:pt idx="6">
                  <c:v>15416.666666666666</c:v>
                </c:pt>
                <c:pt idx="7">
                  <c:v>15416.666666666666</c:v>
                </c:pt>
                <c:pt idx="8">
                  <c:v>15416.666666666666</c:v>
                </c:pt>
                <c:pt idx="9">
                  <c:v>15416.666666666666</c:v>
                </c:pt>
                <c:pt idx="10">
                  <c:v>15416.666666666666</c:v>
                </c:pt>
                <c:pt idx="11">
                  <c:v>15416.666666666666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A9-4CA5-8840-38D8328E8EBE}"/>
            </c:ext>
          </c:extLst>
        </c:ser>
        <c:ser>
          <c:idx val="1"/>
          <c:order val="1"/>
          <c:tx>
            <c:strRef>
              <c:f>'Monthly Forecast'!$D$4</c:f>
              <c:strCache>
                <c:ptCount val="1"/>
                <c:pt idx="0">
                  <c:v>Actual Spend</c:v>
                </c:pt>
              </c:strCache>
            </c:strRef>
          </c:tx>
          <c:spPr>
            <a:ln w="28080">
              <a:solidFill>
                <a:srgbClr val="A0032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Forecast'!$B$5:$B$16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Forecast'!$D$5:$D$16</c:f>
              <c:numCache>
                <c:formatCode>\$#,##0;"($"#,##0\);\—</c:formatCode>
                <c:ptCount val="12"/>
                <c:pt idx="0">
                  <c:v>3561</c:v>
                </c:pt>
                <c:pt idx="1">
                  <c:v>4270</c:v>
                </c:pt>
                <c:pt idx="2">
                  <c:v>3746</c:v>
                </c:pt>
                <c:pt idx="3">
                  <c:v>3125</c:v>
                </c:pt>
                <c:pt idx="4">
                  <c:v>3915</c:v>
                </c:pt>
                <c:pt idx="5">
                  <c:v>4888</c:v>
                </c:pt>
                <c:pt idx="6">
                  <c:v>2992</c:v>
                </c:pt>
                <c:pt idx="7">
                  <c:v>3145</c:v>
                </c:pt>
                <c:pt idx="8">
                  <c:v>2995</c:v>
                </c:pt>
                <c:pt idx="9">
                  <c:v>3495</c:v>
                </c:pt>
                <c:pt idx="10">
                  <c:v>2375</c:v>
                </c:pt>
                <c:pt idx="11">
                  <c:v>1945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A9-4CA5-8840-38D8328E8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912599"/>
        <c:axId val="91154562"/>
      </c:lineChart>
      <c:catAx>
        <c:axId val="58912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54562"/>
        <c:crosses val="autoZero"/>
        <c:auto val="1"/>
        <c:lblAlgn val="ctr"/>
        <c:lblOffset val="100"/>
        <c:noMultiLvlLbl val="0"/>
      </c:catAx>
      <c:valAx>
        <c:axId val="91154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125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YTD Cumulative: 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Forecast'!$F$4</c:f>
              <c:strCache>
                <c:ptCount val="1"/>
                <c:pt idx="0">
                  <c:v>YTD Budget</c:v>
                </c:pt>
              </c:strCache>
            </c:strRef>
          </c:tx>
          <c:spPr>
            <a:ln w="28080">
              <a:solidFill>
                <a:srgbClr val="1A1A1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Forecast'!$B$5:$B$16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Forecast'!$F$5:$F$16</c:f>
              <c:numCache>
                <c:formatCode>\$#,##0</c:formatCode>
                <c:ptCount val="12"/>
                <c:pt idx="0">
                  <c:v>15416.666666666666</c:v>
                </c:pt>
                <c:pt idx="1">
                  <c:v>30833.333333333332</c:v>
                </c:pt>
                <c:pt idx="2">
                  <c:v>46250</c:v>
                </c:pt>
                <c:pt idx="3">
                  <c:v>61666.666666666664</c:v>
                </c:pt>
                <c:pt idx="4">
                  <c:v>77083.333333333328</c:v>
                </c:pt>
                <c:pt idx="5">
                  <c:v>92500</c:v>
                </c:pt>
                <c:pt idx="6">
                  <c:v>107916.66666666667</c:v>
                </c:pt>
                <c:pt idx="7">
                  <c:v>123333.33333333334</c:v>
                </c:pt>
                <c:pt idx="8">
                  <c:v>138750</c:v>
                </c:pt>
                <c:pt idx="9">
                  <c:v>154166.66666666666</c:v>
                </c:pt>
                <c:pt idx="10">
                  <c:v>169583.33333333331</c:v>
                </c:pt>
                <c:pt idx="11">
                  <c:v>184999.99999999997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63-429E-9D27-0BE3E74B3D22}"/>
            </c:ext>
          </c:extLst>
        </c:ser>
        <c:ser>
          <c:idx val="1"/>
          <c:order val="1"/>
          <c:tx>
            <c:strRef>
              <c:f>'Monthly Forecast'!$G$4</c:f>
              <c:strCache>
                <c:ptCount val="1"/>
                <c:pt idx="0">
                  <c:v>YTD Actual</c:v>
                </c:pt>
              </c:strCache>
            </c:strRef>
          </c:tx>
          <c:spPr>
            <a:ln w="28080">
              <a:solidFill>
                <a:srgbClr val="B8860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Forecast'!$B$5:$B$16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Forecast'!$G$5:$G$16</c:f>
              <c:numCache>
                <c:formatCode>\$#,##0;"($"#,##0\);\—</c:formatCode>
                <c:ptCount val="12"/>
                <c:pt idx="0">
                  <c:v>3561</c:v>
                </c:pt>
                <c:pt idx="1">
                  <c:v>7831</c:v>
                </c:pt>
                <c:pt idx="2">
                  <c:v>11577</c:v>
                </c:pt>
                <c:pt idx="3">
                  <c:v>14702</c:v>
                </c:pt>
                <c:pt idx="4">
                  <c:v>18617</c:v>
                </c:pt>
                <c:pt idx="5">
                  <c:v>23505</c:v>
                </c:pt>
                <c:pt idx="6">
                  <c:v>26497</c:v>
                </c:pt>
                <c:pt idx="7">
                  <c:v>29642</c:v>
                </c:pt>
                <c:pt idx="8">
                  <c:v>32637</c:v>
                </c:pt>
                <c:pt idx="9">
                  <c:v>36132</c:v>
                </c:pt>
                <c:pt idx="10">
                  <c:v>38507</c:v>
                </c:pt>
                <c:pt idx="11">
                  <c:v>40452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63-429E-9D27-0BE3E74B3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302977"/>
        <c:axId val="97321437"/>
      </c:lineChart>
      <c:catAx>
        <c:axId val="353029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21437"/>
        <c:crosses val="autoZero"/>
        <c:auto val="1"/>
        <c:lblAlgn val="ctr"/>
        <c:lblOffset val="100"/>
        <c:noMultiLvlLbl val="0"/>
      </c:catAx>
      <c:valAx>
        <c:axId val="97321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(Cumulative)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029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Trip Cost Ranking (All FY2025 Trips)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_ChartData!$I$1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A0032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_ChartData!$H$2:$H$24</c:f>
              <c:strCache>
                <c:ptCount val="23"/>
                <c:pt idx="0">
                  <c:v>T-2501</c:v>
                </c:pt>
                <c:pt idx="1">
                  <c:v>T-2502</c:v>
                </c:pt>
                <c:pt idx="2">
                  <c:v>T-2503</c:v>
                </c:pt>
                <c:pt idx="3">
                  <c:v>T-2504</c:v>
                </c:pt>
                <c:pt idx="4">
                  <c:v>T-2505</c:v>
                </c:pt>
                <c:pt idx="5">
                  <c:v>T-2506</c:v>
                </c:pt>
                <c:pt idx="6">
                  <c:v>T-2507</c:v>
                </c:pt>
                <c:pt idx="7">
                  <c:v>T-2508</c:v>
                </c:pt>
                <c:pt idx="8">
                  <c:v>T-2509</c:v>
                </c:pt>
                <c:pt idx="9">
                  <c:v>T-2510</c:v>
                </c:pt>
                <c:pt idx="10">
                  <c:v>T-2511</c:v>
                </c:pt>
                <c:pt idx="11">
                  <c:v>T-2512</c:v>
                </c:pt>
                <c:pt idx="12">
                  <c:v>T-2513</c:v>
                </c:pt>
                <c:pt idx="13">
                  <c:v>T-2514</c:v>
                </c:pt>
                <c:pt idx="14">
                  <c:v>T-2515</c:v>
                </c:pt>
                <c:pt idx="15">
                  <c:v>T-2516</c:v>
                </c:pt>
                <c:pt idx="16">
                  <c:v>T-2517</c:v>
                </c:pt>
                <c:pt idx="17">
                  <c:v>T-2518</c:v>
                </c:pt>
                <c:pt idx="18">
                  <c:v>T-2519</c:v>
                </c:pt>
                <c:pt idx="19">
                  <c:v>T-2520</c:v>
                </c:pt>
                <c:pt idx="20">
                  <c:v>T-2521</c:v>
                </c:pt>
                <c:pt idx="21">
                  <c:v>T-2522</c:v>
                </c:pt>
                <c:pt idx="22">
                  <c:v>T-2523</c:v>
                </c:pt>
              </c:strCache>
            </c:strRef>
          </c:cat>
          <c:val>
            <c:numRef>
              <c:f>_ChartData!$I$2:$I$24</c:f>
              <c:numCache>
                <c:formatCode>\$#,##0</c:formatCode>
                <c:ptCount val="23"/>
                <c:pt idx="0">
                  <c:v>2344</c:v>
                </c:pt>
                <c:pt idx="1">
                  <c:v>1217</c:v>
                </c:pt>
                <c:pt idx="2">
                  <c:v>1965</c:v>
                </c:pt>
                <c:pt idx="3">
                  <c:v>2305</c:v>
                </c:pt>
                <c:pt idx="4">
                  <c:v>1681</c:v>
                </c:pt>
                <c:pt idx="5">
                  <c:v>2065</c:v>
                </c:pt>
                <c:pt idx="6">
                  <c:v>2300</c:v>
                </c:pt>
                <c:pt idx="7">
                  <c:v>825</c:v>
                </c:pt>
                <c:pt idx="8">
                  <c:v>1590</c:v>
                </c:pt>
                <c:pt idx="9">
                  <c:v>2325</c:v>
                </c:pt>
                <c:pt idx="10">
                  <c:v>3940</c:v>
                </c:pt>
                <c:pt idx="11">
                  <c:v>948</c:v>
                </c:pt>
                <c:pt idx="12">
                  <c:v>1960</c:v>
                </c:pt>
                <c:pt idx="13">
                  <c:v>1032</c:v>
                </c:pt>
                <c:pt idx="14">
                  <c:v>2120</c:v>
                </c:pt>
                <c:pt idx="15">
                  <c:v>1025</c:v>
                </c:pt>
                <c:pt idx="16">
                  <c:v>1580</c:v>
                </c:pt>
                <c:pt idx="17">
                  <c:v>1415</c:v>
                </c:pt>
                <c:pt idx="18">
                  <c:v>2495</c:v>
                </c:pt>
                <c:pt idx="19">
                  <c:v>1000</c:v>
                </c:pt>
                <c:pt idx="20">
                  <c:v>1345</c:v>
                </c:pt>
                <c:pt idx="21">
                  <c:v>1030</c:v>
                </c:pt>
                <c:pt idx="22">
                  <c:v>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5-4D02-B42E-4AA0CCAAC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437318"/>
        <c:axId val="58857453"/>
      </c:barChart>
      <c:catAx>
        <c:axId val="74373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57453"/>
        <c:crosses val="autoZero"/>
        <c:auto val="1"/>
        <c:lblAlgn val="ctr"/>
        <c:lblOffset val="100"/>
        <c:noMultiLvlLbl val="0"/>
      </c:catAx>
      <c:valAx>
        <c:axId val="588574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373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 Distribution by Traveler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_ChartData!$F$1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A1A1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EC9-4B9D-AFF8-A9D050B0529C}"/>
              </c:ext>
            </c:extLst>
          </c:dPt>
          <c:dPt>
            <c:idx val="1"/>
            <c:bubble3D val="0"/>
            <c:spPr>
              <a:solidFill>
                <a:srgbClr val="A0032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EC9-4B9D-AFF8-A9D050B0529C}"/>
              </c:ext>
            </c:extLst>
          </c:dPt>
          <c:dPt>
            <c:idx val="2"/>
            <c:bubble3D val="0"/>
            <c:spPr>
              <a:solidFill>
                <a:srgbClr val="B886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EC9-4B9D-AFF8-A9D050B0529C}"/>
              </c:ext>
            </c:extLst>
          </c:dPt>
          <c:dPt>
            <c:idx val="3"/>
            <c:bubble3D val="0"/>
            <c:spPr>
              <a:solidFill>
                <a:srgbClr val="2D5F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EC9-4B9D-AFF8-A9D050B0529C}"/>
              </c:ext>
            </c:extLst>
          </c:dPt>
          <c:dPt>
            <c:idx val="4"/>
            <c:bubble3D val="0"/>
            <c:spPr>
              <a:solidFill>
                <a:srgbClr val="4A6F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EC9-4B9D-AFF8-A9D050B0529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EC9-4B9D-AFF8-A9D050B0529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EC9-4B9D-AFF8-A9D050B0529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EC9-4B9D-AFF8-A9D050B0529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EC9-4B9D-AFF8-A9D050B0529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EC9-4B9D-AFF8-A9D050B05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_ChartData!$E$2:$E$6</c:f>
              <c:strCache>
                <c:ptCount val="5"/>
                <c:pt idx="0">
                  <c:v>Governor</c:v>
                </c:pt>
                <c:pt idx="1">
                  <c:v>Chief of Staff</c:v>
                </c:pt>
                <c:pt idx="2">
                  <c:v>Deputy Chief of Staff</c:v>
                </c:pt>
                <c:pt idx="3">
                  <c:v>Policy Advisor</c:v>
                </c:pt>
                <c:pt idx="4">
                  <c:v>Communications Director</c:v>
                </c:pt>
              </c:strCache>
            </c:strRef>
          </c:cat>
          <c:val>
            <c:numRef>
              <c:f>_ChartData!$F$2:$F$6</c:f>
              <c:numCache>
                <c:formatCode>\$#,##0</c:formatCode>
                <c:ptCount val="5"/>
                <c:pt idx="0">
                  <c:v>2300</c:v>
                </c:pt>
                <c:pt idx="1">
                  <c:v>9245</c:v>
                </c:pt>
                <c:pt idx="2">
                  <c:v>10719</c:v>
                </c:pt>
                <c:pt idx="3">
                  <c:v>10993</c:v>
                </c:pt>
                <c:pt idx="4">
                  <c:v>7195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C9-4B9D-AFF8-A9D050B05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136080</xdr:colOff>
      <xdr:row>23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16</xdr:col>
      <xdr:colOff>90360</xdr:colOff>
      <xdr:row>23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136080</xdr:colOff>
      <xdr:row>45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90360</xdr:colOff>
      <xdr:row>45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136080</xdr:colOff>
      <xdr:row>73</xdr:row>
      <xdr:rowOff>107640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49</xdr:row>
      <xdr:rowOff>0</xdr:rowOff>
    </xdr:from>
    <xdr:to>
      <xdr:col>16</xdr:col>
      <xdr:colOff>90360</xdr:colOff>
      <xdr:row>73</xdr:row>
      <xdr:rowOff>107640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7"/>
  <sheetViews>
    <sheetView showGridLines="0" zoomScaleNormal="100" workbookViewId="0">
      <selection activeCell="D17" sqref="D17"/>
    </sheetView>
  </sheetViews>
  <sheetFormatPr defaultColWidth="8.7109375" defaultRowHeight="15" x14ac:dyDescent="0.25"/>
  <cols>
    <col min="1" max="1" width="2" customWidth="1"/>
    <col min="2" max="2" width="34" customWidth="1"/>
    <col min="3" max="3" width="16" customWidth="1"/>
    <col min="4" max="5" width="19" customWidth="1"/>
    <col min="6" max="6" width="14" customWidth="1"/>
    <col min="7" max="7" width="16" customWidth="1"/>
    <col min="8" max="8" width="2" customWidth="1"/>
  </cols>
  <sheetData>
    <row r="1" spans="2:7" ht="9.75" customHeight="1" x14ac:dyDescent="0.25"/>
    <row r="2" spans="2:7" ht="48" customHeight="1" x14ac:dyDescent="0.25">
      <c r="B2" s="14" t="s">
        <v>0</v>
      </c>
      <c r="C2" s="14"/>
      <c r="D2" s="14"/>
      <c r="E2" s="14"/>
      <c r="F2" s="14"/>
      <c r="G2" s="14"/>
    </row>
    <row r="3" spans="2:7" ht="21.75" customHeight="1" x14ac:dyDescent="0.25">
      <c r="B3" s="13" t="s">
        <v>1</v>
      </c>
      <c r="C3" s="13"/>
      <c r="D3" s="13"/>
      <c r="E3" s="13"/>
      <c r="F3" s="13"/>
      <c r="G3" s="13"/>
    </row>
    <row r="4" spans="2:7" ht="7.5" customHeight="1" x14ac:dyDescent="0.25"/>
    <row r="5" spans="2:7" ht="15.75" customHeight="1" x14ac:dyDescent="0.25">
      <c r="B5" s="12" t="s">
        <v>2</v>
      </c>
      <c r="C5" s="12"/>
      <c r="D5" s="15" t="s">
        <v>3</v>
      </c>
      <c r="E5" s="16" t="s">
        <v>4</v>
      </c>
      <c r="F5" s="11" t="s">
        <v>5</v>
      </c>
      <c r="G5" s="11"/>
    </row>
    <row r="6" spans="2:7" ht="39.75" customHeight="1" x14ac:dyDescent="0.25">
      <c r="B6" s="10">
        <f>C18</f>
        <v>185000</v>
      </c>
      <c r="C6" s="10"/>
      <c r="D6" s="17">
        <f>D18</f>
        <v>40452</v>
      </c>
      <c r="E6" s="18">
        <f>E18</f>
        <v>144548</v>
      </c>
      <c r="F6" s="9">
        <f>G23</f>
        <v>1</v>
      </c>
      <c r="G6" s="9"/>
    </row>
    <row r="7" spans="2:7" ht="21.75" customHeight="1" x14ac:dyDescent="0.25">
      <c r="B7" s="8" t="s">
        <v>6</v>
      </c>
      <c r="C7" s="8"/>
      <c r="D7" s="19" t="s">
        <v>7</v>
      </c>
      <c r="E7" s="20" t="s">
        <v>8</v>
      </c>
      <c r="F7" s="7" t="s">
        <v>9</v>
      </c>
      <c r="G7" s="7"/>
    </row>
    <row r="8" spans="2:7" ht="12" customHeight="1" x14ac:dyDescent="0.25"/>
    <row r="9" spans="2:7" ht="12" customHeight="1" x14ac:dyDescent="0.25"/>
    <row r="10" spans="2:7" ht="30" customHeight="1" x14ac:dyDescent="0.25">
      <c r="B10" s="6" t="s">
        <v>10</v>
      </c>
      <c r="C10" s="6"/>
      <c r="D10" s="6"/>
      <c r="E10" s="6"/>
      <c r="F10" s="6"/>
      <c r="G10" s="6"/>
    </row>
    <row r="11" spans="2:7" ht="21.75" customHeight="1" x14ac:dyDescent="0.25">
      <c r="B11" s="21" t="s">
        <v>11</v>
      </c>
      <c r="C11" s="22" t="s">
        <v>12</v>
      </c>
      <c r="D11" s="22" t="s">
        <v>13</v>
      </c>
      <c r="E11" s="22" t="s">
        <v>14</v>
      </c>
      <c r="F11" s="22" t="s">
        <v>15</v>
      </c>
      <c r="G11" s="22" t="s">
        <v>16</v>
      </c>
    </row>
    <row r="12" spans="2:7" ht="19.5" customHeight="1" x14ac:dyDescent="0.25">
      <c r="B12" s="23" t="s">
        <v>17</v>
      </c>
      <c r="C12" s="24">
        <v>72000</v>
      </c>
      <c r="D12" s="25">
        <f>SUMIF('Trip Log'!H:H,B12,'Trip Log'!I:I)</f>
        <v>11572</v>
      </c>
      <c r="E12" s="25">
        <f t="shared" ref="E12:E18" si="0">C12-D12</f>
        <v>60428</v>
      </c>
      <c r="F12" s="26">
        <f t="shared" ref="F12:F18" si="1">IFERROR(D12/C12,0)</f>
        <v>0.16072222222222221</v>
      </c>
      <c r="G12" s="27" t="str">
        <f t="shared" ref="G12:G17" si="2">IF(F12&gt;1,"Over Budget",IF(F12&gt;0.9,"Monitor","On Track"))</f>
        <v>On Track</v>
      </c>
    </row>
    <row r="13" spans="2:7" ht="19.5" customHeight="1" x14ac:dyDescent="0.25">
      <c r="B13" s="28" t="s">
        <v>18</v>
      </c>
      <c r="C13" s="29">
        <v>48000</v>
      </c>
      <c r="D13" s="30">
        <f>SUMIF('Trip Log'!H:H,B13,'Trip Log'!I:I)</f>
        <v>22785</v>
      </c>
      <c r="E13" s="30">
        <f t="shared" si="0"/>
        <v>25215</v>
      </c>
      <c r="F13" s="31">
        <f t="shared" si="1"/>
        <v>0.47468749999999998</v>
      </c>
      <c r="G13" s="32" t="str">
        <f t="shared" si="2"/>
        <v>On Track</v>
      </c>
    </row>
    <row r="14" spans="2:7" ht="19.5" customHeight="1" x14ac:dyDescent="0.25">
      <c r="B14" s="23" t="s">
        <v>19</v>
      </c>
      <c r="C14" s="24">
        <v>28000</v>
      </c>
      <c r="D14" s="25">
        <f>SUMIF('Trip Log'!H:H,B14,'Trip Log'!I:I)</f>
        <v>1335</v>
      </c>
      <c r="E14" s="25">
        <f t="shared" si="0"/>
        <v>26665</v>
      </c>
      <c r="F14" s="26">
        <f t="shared" si="1"/>
        <v>4.7678571428571431E-2</v>
      </c>
      <c r="G14" s="27" t="str">
        <f t="shared" si="2"/>
        <v>On Track</v>
      </c>
    </row>
    <row r="15" spans="2:7" ht="19.5" customHeight="1" x14ac:dyDescent="0.25">
      <c r="B15" s="28" t="s">
        <v>20</v>
      </c>
      <c r="C15" s="29">
        <v>18000</v>
      </c>
      <c r="D15" s="30">
        <f>SUMIF('Trip Log'!H:H,B15,'Trip Log'!I:I)</f>
        <v>965</v>
      </c>
      <c r="E15" s="30">
        <f t="shared" si="0"/>
        <v>17035</v>
      </c>
      <c r="F15" s="31">
        <f t="shared" si="1"/>
        <v>5.3611111111111109E-2</v>
      </c>
      <c r="G15" s="32" t="str">
        <f t="shared" si="2"/>
        <v>On Track</v>
      </c>
    </row>
    <row r="16" spans="2:7" ht="19.5" customHeight="1" x14ac:dyDescent="0.25">
      <c r="B16" s="23" t="s">
        <v>21</v>
      </c>
      <c r="C16" s="24">
        <v>12000</v>
      </c>
      <c r="D16" s="25">
        <f>SUMIF('Trip Log'!H:H,B16,'Trip Log'!I:I)</f>
        <v>3795</v>
      </c>
      <c r="E16" s="25">
        <f t="shared" si="0"/>
        <v>8205</v>
      </c>
      <c r="F16" s="26">
        <f t="shared" si="1"/>
        <v>0.31624999999999998</v>
      </c>
      <c r="G16" s="27" t="str">
        <f t="shared" si="2"/>
        <v>On Track</v>
      </c>
    </row>
    <row r="17" spans="2:7" ht="19.5" customHeight="1" x14ac:dyDescent="0.25">
      <c r="B17" s="28" t="s">
        <v>22</v>
      </c>
      <c r="C17" s="29">
        <v>7000</v>
      </c>
      <c r="D17" s="30">
        <f>SUMIF('Trip Log'!H:H,B17,'Trip Log'!I:I)</f>
        <v>0</v>
      </c>
      <c r="E17" s="30">
        <f t="shared" si="0"/>
        <v>7000</v>
      </c>
      <c r="F17" s="31">
        <f t="shared" si="1"/>
        <v>0</v>
      </c>
      <c r="G17" s="32" t="str">
        <f t="shared" si="2"/>
        <v>On Track</v>
      </c>
    </row>
    <row r="18" spans="2:7" ht="25.5" customHeight="1" x14ac:dyDescent="0.25">
      <c r="B18" s="33" t="s">
        <v>23</v>
      </c>
      <c r="C18" s="34">
        <f>SUM(C12:C17)</f>
        <v>185000</v>
      </c>
      <c r="D18" s="34">
        <f>SUM(D12:D17)</f>
        <v>40452</v>
      </c>
      <c r="E18" s="34">
        <f t="shared" si="0"/>
        <v>144548</v>
      </c>
      <c r="F18" s="35">
        <f t="shared" si="1"/>
        <v>0.21865945945945947</v>
      </c>
      <c r="G18" s="36" t="str">
        <f>IF(F18&gt;1,"Over Budget","On Track")</f>
        <v>On Track</v>
      </c>
    </row>
    <row r="20" spans="2:7" ht="12" customHeight="1" x14ac:dyDescent="0.25"/>
    <row r="21" spans="2:7" ht="30" customHeight="1" x14ac:dyDescent="0.25">
      <c r="B21" s="6" t="s">
        <v>24</v>
      </c>
      <c r="C21" s="6"/>
      <c r="D21" s="6"/>
      <c r="E21" s="6"/>
      <c r="F21" s="6"/>
      <c r="G21" s="6"/>
    </row>
    <row r="22" spans="2:7" ht="30" customHeight="1" x14ac:dyDescent="0.25">
      <c r="B22" s="5" t="s">
        <v>25</v>
      </c>
      <c r="C22" s="5"/>
      <c r="D22" s="37">
        <f>SUMPRODUCT(('Trip Log'!C4:C60&lt;&gt;"")/COUNTIF('Trip Log'!C4:C60,'Trip Log'!C4:C60&amp;""))</f>
        <v>22.999999999999993</v>
      </c>
      <c r="E22" s="5" t="s">
        <v>26</v>
      </c>
      <c r="F22" s="5"/>
      <c r="G22" s="37">
        <f>COUNTIF('Trip Log'!L4:L60,"Under Budget")</f>
        <v>57</v>
      </c>
    </row>
    <row r="23" spans="2:7" ht="30" customHeight="1" x14ac:dyDescent="0.25">
      <c r="B23" s="4" t="s">
        <v>27</v>
      </c>
      <c r="C23" s="4"/>
      <c r="D23" s="38">
        <f>COUNTA('Trip Log'!C4:C60)</f>
        <v>57</v>
      </c>
      <c r="E23" s="4" t="s">
        <v>28</v>
      </c>
      <c r="F23" s="4"/>
      <c r="G23" s="39">
        <f>IFERROR(G22/D23,0)</f>
        <v>1</v>
      </c>
    </row>
    <row r="24" spans="2:7" ht="30" customHeight="1" x14ac:dyDescent="0.25">
      <c r="B24" s="5" t="s">
        <v>29</v>
      </c>
      <c r="C24" s="5"/>
      <c r="D24" s="40">
        <f>IFERROR(D18/D23,0)</f>
        <v>709.68421052631584</v>
      </c>
      <c r="E24" s="5" t="s">
        <v>30</v>
      </c>
      <c r="F24" s="5"/>
      <c r="G24" s="41">
        <f>SUM('Trip Log'!K4:K60)</f>
        <v>3873</v>
      </c>
    </row>
    <row r="26" spans="2:7" ht="18" customHeight="1" x14ac:dyDescent="0.25">
      <c r="B26" s="3" t="s">
        <v>31</v>
      </c>
      <c r="C26" s="3"/>
      <c r="D26" s="3"/>
      <c r="E26" s="3"/>
      <c r="F26" s="3"/>
      <c r="G26" s="3"/>
    </row>
    <row r="27" spans="2:7" ht="15.75" customHeight="1" x14ac:dyDescent="0.25">
      <c r="B27" s="2" t="s">
        <v>32</v>
      </c>
      <c r="C27" s="2"/>
      <c r="D27" s="2"/>
      <c r="E27" s="2"/>
      <c r="F27" s="2"/>
      <c r="G27" s="2"/>
    </row>
  </sheetData>
  <mergeCells count="18">
    <mergeCell ref="B27:G27"/>
    <mergeCell ref="B23:C23"/>
    <mergeCell ref="E23:F23"/>
    <mergeCell ref="B24:C24"/>
    <mergeCell ref="E24:F24"/>
    <mergeCell ref="B26:G26"/>
    <mergeCell ref="B7:C7"/>
    <mergeCell ref="F7:G7"/>
    <mergeCell ref="B10:G10"/>
    <mergeCell ref="B21:G21"/>
    <mergeCell ref="B22:C22"/>
    <mergeCell ref="E22:F22"/>
    <mergeCell ref="B2:G2"/>
    <mergeCell ref="B3:G3"/>
    <mergeCell ref="B5:C5"/>
    <mergeCell ref="F5:G5"/>
    <mergeCell ref="B6:C6"/>
    <mergeCell ref="F6:G6"/>
  </mergeCells>
  <conditionalFormatting sqref="G12:G17">
    <cfRule type="expression" dxfId="4" priority="2">
      <formula>EXACT(G12,"Over Budget")</formula>
    </cfRule>
    <cfRule type="expression" dxfId="3" priority="3">
      <formula>EXACT(G12,"Monitor")</formula>
    </cfRule>
    <cfRule type="expression" dxfId="2" priority="4">
      <formula>EXACT(G12,"On Track")</formula>
    </cfRule>
  </conditionalFormatting>
  <printOptions horizontalCentered="1"/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6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" customWidth="1"/>
    <col min="2" max="2" width="12" customWidth="1"/>
    <col min="3" max="3" width="11" customWidth="1"/>
    <col min="4" max="4" width="26" customWidth="1"/>
    <col min="5" max="5" width="22" customWidth="1"/>
    <col min="6" max="6" width="30" customWidth="1"/>
    <col min="7" max="7" width="12" customWidth="1"/>
    <col min="8" max="8" width="22" customWidth="1"/>
    <col min="9" max="11" width="13" customWidth="1"/>
    <col min="12" max="12" width="14" customWidth="1"/>
    <col min="13" max="13" width="9" customWidth="1"/>
    <col min="14" max="14" width="2" customWidth="1"/>
  </cols>
  <sheetData>
    <row r="1" spans="2:14" ht="31.5" customHeight="1" x14ac:dyDescent="0.25">
      <c r="B1" s="1" t="s">
        <v>33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4" ht="6" customHeight="1" x14ac:dyDescent="0.25"/>
    <row r="3" spans="2:14" ht="27.75" customHeight="1" x14ac:dyDescent="0.25">
      <c r="B3" s="42" t="s">
        <v>34</v>
      </c>
      <c r="C3" s="42" t="s">
        <v>35</v>
      </c>
      <c r="D3" s="42" t="s">
        <v>36</v>
      </c>
      <c r="E3" s="42" t="s">
        <v>37</v>
      </c>
      <c r="F3" s="42" t="s">
        <v>38</v>
      </c>
      <c r="G3" s="42" t="s">
        <v>39</v>
      </c>
      <c r="H3" s="42" t="s">
        <v>11</v>
      </c>
      <c r="I3" s="42" t="s">
        <v>40</v>
      </c>
      <c r="J3" s="42" t="s">
        <v>41</v>
      </c>
      <c r="K3" s="42" t="s">
        <v>42</v>
      </c>
      <c r="L3" s="42" t="s">
        <v>16</v>
      </c>
      <c r="M3" s="42" t="s">
        <v>43</v>
      </c>
      <c r="N3" s="42" t="s">
        <v>44</v>
      </c>
    </row>
    <row r="4" spans="2:14" ht="18" customHeight="1" x14ac:dyDescent="0.25">
      <c r="B4" s="43">
        <v>45665</v>
      </c>
      <c r="C4" s="44" t="s">
        <v>45</v>
      </c>
      <c r="D4" s="23" t="s">
        <v>46</v>
      </c>
      <c r="E4" s="23" t="s">
        <v>47</v>
      </c>
      <c r="F4" s="45" t="s">
        <v>48</v>
      </c>
      <c r="G4" s="46" t="s">
        <v>49</v>
      </c>
      <c r="H4" s="23" t="s">
        <v>17</v>
      </c>
      <c r="I4" s="24">
        <v>685</v>
      </c>
      <c r="J4" s="24">
        <v>750</v>
      </c>
      <c r="K4" s="25">
        <f t="shared" ref="K4:K35" si="0">J4-I4</f>
        <v>65</v>
      </c>
      <c r="L4" s="27" t="str">
        <f t="shared" ref="L4:L35" si="1">IF(K4&gt;=0,"Under Budget","Over Budget")</f>
        <v>Under Budget</v>
      </c>
      <c r="M4" s="47" t="str">
        <f t="shared" ref="M4:M35" si="2">TEXT(B4,"mmm")</f>
        <v>Jan</v>
      </c>
      <c r="N4" s="47">
        <f t="shared" ref="N4:N35" si="3">MONTH(B4)</f>
        <v>1</v>
      </c>
    </row>
    <row r="5" spans="2:14" ht="18" customHeight="1" x14ac:dyDescent="0.25">
      <c r="B5" s="48">
        <v>45665</v>
      </c>
      <c r="C5" s="49" t="s">
        <v>45</v>
      </c>
      <c r="D5" s="28" t="s">
        <v>46</v>
      </c>
      <c r="E5" s="28" t="s">
        <v>47</v>
      </c>
      <c r="F5" s="50" t="s">
        <v>48</v>
      </c>
      <c r="G5" s="51" t="s">
        <v>49</v>
      </c>
      <c r="H5" s="28" t="s">
        <v>18</v>
      </c>
      <c r="I5" s="29">
        <v>1125</v>
      </c>
      <c r="J5" s="29">
        <v>1200</v>
      </c>
      <c r="K5" s="30">
        <f t="shared" si="0"/>
        <v>75</v>
      </c>
      <c r="L5" s="32" t="str">
        <f t="shared" si="1"/>
        <v>Under Budget</v>
      </c>
      <c r="M5" s="52" t="str">
        <f t="shared" si="2"/>
        <v>Jan</v>
      </c>
      <c r="N5" s="52">
        <f t="shared" si="3"/>
        <v>1</v>
      </c>
    </row>
    <row r="6" spans="2:14" ht="18" customHeight="1" x14ac:dyDescent="0.25">
      <c r="B6" s="43">
        <v>45665</v>
      </c>
      <c r="C6" s="44" t="s">
        <v>45</v>
      </c>
      <c r="D6" s="23" t="s">
        <v>46</v>
      </c>
      <c r="E6" s="23" t="s">
        <v>47</v>
      </c>
      <c r="F6" s="45" t="s">
        <v>48</v>
      </c>
      <c r="G6" s="46" t="s">
        <v>49</v>
      </c>
      <c r="H6" s="23" t="s">
        <v>19</v>
      </c>
      <c r="I6" s="24">
        <v>534</v>
      </c>
      <c r="J6" s="24">
        <v>600</v>
      </c>
      <c r="K6" s="25">
        <f t="shared" si="0"/>
        <v>66</v>
      </c>
      <c r="L6" s="27" t="str">
        <f t="shared" si="1"/>
        <v>Under Budget</v>
      </c>
      <c r="M6" s="47" t="str">
        <f t="shared" si="2"/>
        <v>Jan</v>
      </c>
      <c r="N6" s="47">
        <f t="shared" si="3"/>
        <v>1</v>
      </c>
    </row>
    <row r="7" spans="2:14" ht="18" customHeight="1" x14ac:dyDescent="0.25">
      <c r="B7" s="48">
        <v>45679</v>
      </c>
      <c r="C7" s="49" t="s">
        <v>50</v>
      </c>
      <c r="D7" s="28" t="s">
        <v>51</v>
      </c>
      <c r="E7" s="28" t="s">
        <v>52</v>
      </c>
      <c r="F7" s="50" t="s">
        <v>53</v>
      </c>
      <c r="G7" s="51" t="s">
        <v>49</v>
      </c>
      <c r="H7" s="28" t="s">
        <v>17</v>
      </c>
      <c r="I7" s="29">
        <v>412</v>
      </c>
      <c r="J7" s="29">
        <v>450</v>
      </c>
      <c r="K7" s="30">
        <f t="shared" si="0"/>
        <v>38</v>
      </c>
      <c r="L7" s="32" t="str">
        <f t="shared" si="1"/>
        <v>Under Budget</v>
      </c>
      <c r="M7" s="52" t="str">
        <f t="shared" si="2"/>
        <v>Jan</v>
      </c>
      <c r="N7" s="52">
        <f t="shared" si="3"/>
        <v>1</v>
      </c>
    </row>
    <row r="8" spans="2:14" ht="18" customHeight="1" x14ac:dyDescent="0.25">
      <c r="B8" s="43">
        <v>45679</v>
      </c>
      <c r="C8" s="44" t="s">
        <v>50</v>
      </c>
      <c r="D8" s="23" t="s">
        <v>51</v>
      </c>
      <c r="E8" s="23" t="s">
        <v>52</v>
      </c>
      <c r="F8" s="45" t="s">
        <v>53</v>
      </c>
      <c r="G8" s="46" t="s">
        <v>54</v>
      </c>
      <c r="H8" s="23" t="s">
        <v>20</v>
      </c>
      <c r="I8" s="24">
        <v>185</v>
      </c>
      <c r="J8" s="24">
        <v>250</v>
      </c>
      <c r="K8" s="25">
        <f t="shared" si="0"/>
        <v>65</v>
      </c>
      <c r="L8" s="27" t="str">
        <f t="shared" si="1"/>
        <v>Under Budget</v>
      </c>
      <c r="M8" s="47" t="str">
        <f t="shared" si="2"/>
        <v>Jan</v>
      </c>
      <c r="N8" s="47">
        <f t="shared" si="3"/>
        <v>1</v>
      </c>
    </row>
    <row r="9" spans="2:14" ht="18" customHeight="1" x14ac:dyDescent="0.25">
      <c r="B9" s="48">
        <v>45679</v>
      </c>
      <c r="C9" s="49" t="s">
        <v>50</v>
      </c>
      <c r="D9" s="28" t="s">
        <v>51</v>
      </c>
      <c r="E9" s="28" t="s">
        <v>52</v>
      </c>
      <c r="F9" s="50" t="s">
        <v>53</v>
      </c>
      <c r="G9" s="51" t="s">
        <v>49</v>
      </c>
      <c r="H9" s="28" t="s">
        <v>18</v>
      </c>
      <c r="I9" s="29">
        <v>620</v>
      </c>
      <c r="J9" s="29">
        <v>700</v>
      </c>
      <c r="K9" s="30">
        <f t="shared" si="0"/>
        <v>80</v>
      </c>
      <c r="L9" s="32" t="str">
        <f t="shared" si="1"/>
        <v>Under Budget</v>
      </c>
      <c r="M9" s="52" t="str">
        <f t="shared" si="2"/>
        <v>Jan</v>
      </c>
      <c r="N9" s="52">
        <f t="shared" si="3"/>
        <v>1</v>
      </c>
    </row>
    <row r="10" spans="2:14" ht="18" customHeight="1" x14ac:dyDescent="0.25">
      <c r="B10" s="43">
        <v>45693</v>
      </c>
      <c r="C10" s="44" t="s">
        <v>55</v>
      </c>
      <c r="D10" s="23" t="s">
        <v>56</v>
      </c>
      <c r="E10" s="23" t="s">
        <v>57</v>
      </c>
      <c r="F10" s="45" t="s">
        <v>58</v>
      </c>
      <c r="G10" s="46" t="s">
        <v>49</v>
      </c>
      <c r="H10" s="23" t="s">
        <v>17</v>
      </c>
      <c r="I10" s="24">
        <v>395</v>
      </c>
      <c r="J10" s="24">
        <v>425</v>
      </c>
      <c r="K10" s="25">
        <f t="shared" si="0"/>
        <v>30</v>
      </c>
      <c r="L10" s="27" t="str">
        <f t="shared" si="1"/>
        <v>Under Budget</v>
      </c>
      <c r="M10" s="47" t="str">
        <f t="shared" si="2"/>
        <v>Feb</v>
      </c>
      <c r="N10" s="47">
        <f t="shared" si="3"/>
        <v>2</v>
      </c>
    </row>
    <row r="11" spans="2:14" ht="18" customHeight="1" x14ac:dyDescent="0.25">
      <c r="B11" s="48">
        <v>45693</v>
      </c>
      <c r="C11" s="49" t="s">
        <v>55</v>
      </c>
      <c r="D11" s="28" t="s">
        <v>56</v>
      </c>
      <c r="E11" s="28" t="s">
        <v>57</v>
      </c>
      <c r="F11" s="50" t="s">
        <v>58</v>
      </c>
      <c r="G11" s="51" t="s">
        <v>49</v>
      </c>
      <c r="H11" s="28" t="s">
        <v>18</v>
      </c>
      <c r="I11" s="29">
        <v>820</v>
      </c>
      <c r="J11" s="29">
        <v>900</v>
      </c>
      <c r="K11" s="30">
        <f t="shared" si="0"/>
        <v>80</v>
      </c>
      <c r="L11" s="32" t="str">
        <f t="shared" si="1"/>
        <v>Under Budget</v>
      </c>
      <c r="M11" s="52" t="str">
        <f t="shared" si="2"/>
        <v>Feb</v>
      </c>
      <c r="N11" s="52">
        <f t="shared" si="3"/>
        <v>2</v>
      </c>
    </row>
    <row r="12" spans="2:14" ht="18" customHeight="1" x14ac:dyDescent="0.25">
      <c r="B12" s="43">
        <v>45693</v>
      </c>
      <c r="C12" s="44" t="s">
        <v>55</v>
      </c>
      <c r="D12" s="23" t="s">
        <v>56</v>
      </c>
      <c r="E12" s="23" t="s">
        <v>57</v>
      </c>
      <c r="F12" s="45" t="s">
        <v>58</v>
      </c>
      <c r="G12" s="46" t="s">
        <v>49</v>
      </c>
      <c r="H12" s="23" t="s">
        <v>21</v>
      </c>
      <c r="I12" s="24">
        <v>750</v>
      </c>
      <c r="J12" s="24">
        <v>800</v>
      </c>
      <c r="K12" s="25">
        <f t="shared" si="0"/>
        <v>50</v>
      </c>
      <c r="L12" s="27" t="str">
        <f t="shared" si="1"/>
        <v>Under Budget</v>
      </c>
      <c r="M12" s="47" t="str">
        <f t="shared" si="2"/>
        <v>Feb</v>
      </c>
      <c r="N12" s="47">
        <f t="shared" si="3"/>
        <v>2</v>
      </c>
    </row>
    <row r="13" spans="2:14" ht="18" customHeight="1" x14ac:dyDescent="0.25">
      <c r="B13" s="48">
        <v>45706</v>
      </c>
      <c r="C13" s="49" t="s">
        <v>59</v>
      </c>
      <c r="D13" s="28" t="s">
        <v>60</v>
      </c>
      <c r="E13" s="28" t="s">
        <v>47</v>
      </c>
      <c r="F13" s="50" t="s">
        <v>61</v>
      </c>
      <c r="G13" s="51" t="s">
        <v>49</v>
      </c>
      <c r="H13" s="28" t="s">
        <v>17</v>
      </c>
      <c r="I13" s="29">
        <v>715</v>
      </c>
      <c r="J13" s="29">
        <v>750</v>
      </c>
      <c r="K13" s="30">
        <f t="shared" si="0"/>
        <v>35</v>
      </c>
      <c r="L13" s="32" t="str">
        <f t="shared" si="1"/>
        <v>Under Budget</v>
      </c>
      <c r="M13" s="52" t="str">
        <f t="shared" si="2"/>
        <v>Feb</v>
      </c>
      <c r="N13" s="52">
        <f t="shared" si="3"/>
        <v>2</v>
      </c>
    </row>
    <row r="14" spans="2:14" ht="18" customHeight="1" x14ac:dyDescent="0.25">
      <c r="B14" s="43">
        <v>45706</v>
      </c>
      <c r="C14" s="44" t="s">
        <v>59</v>
      </c>
      <c r="D14" s="23" t="s">
        <v>60</v>
      </c>
      <c r="E14" s="23" t="s">
        <v>47</v>
      </c>
      <c r="F14" s="45" t="s">
        <v>61</v>
      </c>
      <c r="G14" s="46" t="s">
        <v>49</v>
      </c>
      <c r="H14" s="23" t="s">
        <v>18</v>
      </c>
      <c r="I14" s="24">
        <v>1380</v>
      </c>
      <c r="J14" s="24">
        <v>1400</v>
      </c>
      <c r="K14" s="25">
        <f t="shared" si="0"/>
        <v>20</v>
      </c>
      <c r="L14" s="27" t="str">
        <f t="shared" si="1"/>
        <v>Under Budget</v>
      </c>
      <c r="M14" s="47" t="str">
        <f t="shared" si="2"/>
        <v>Feb</v>
      </c>
      <c r="N14" s="47">
        <f t="shared" si="3"/>
        <v>2</v>
      </c>
    </row>
    <row r="15" spans="2:14" ht="18" customHeight="1" x14ac:dyDescent="0.25">
      <c r="B15" s="48">
        <v>45706</v>
      </c>
      <c r="C15" s="49" t="s">
        <v>59</v>
      </c>
      <c r="D15" s="28" t="s">
        <v>60</v>
      </c>
      <c r="E15" s="28" t="s">
        <v>47</v>
      </c>
      <c r="F15" s="50" t="s">
        <v>61</v>
      </c>
      <c r="G15" s="51" t="s">
        <v>54</v>
      </c>
      <c r="H15" s="28" t="s">
        <v>20</v>
      </c>
      <c r="I15" s="29">
        <v>210</v>
      </c>
      <c r="J15" s="29">
        <v>250</v>
      </c>
      <c r="K15" s="30">
        <f t="shared" si="0"/>
        <v>40</v>
      </c>
      <c r="L15" s="32" t="str">
        <f t="shared" si="1"/>
        <v>Under Budget</v>
      </c>
      <c r="M15" s="52" t="str">
        <f t="shared" si="2"/>
        <v>Feb</v>
      </c>
      <c r="N15" s="52">
        <f t="shared" si="3"/>
        <v>2</v>
      </c>
    </row>
    <row r="16" spans="2:14" ht="18" customHeight="1" x14ac:dyDescent="0.25">
      <c r="B16" s="43">
        <v>45720</v>
      </c>
      <c r="C16" s="44" t="s">
        <v>62</v>
      </c>
      <c r="D16" s="23" t="s">
        <v>51</v>
      </c>
      <c r="E16" s="23" t="s">
        <v>63</v>
      </c>
      <c r="F16" s="45" t="s">
        <v>64</v>
      </c>
      <c r="G16" s="46" t="s">
        <v>49</v>
      </c>
      <c r="H16" s="23" t="s">
        <v>17</v>
      </c>
      <c r="I16" s="24">
        <v>345</v>
      </c>
      <c r="J16" s="24">
        <v>425</v>
      </c>
      <c r="K16" s="25">
        <f t="shared" si="0"/>
        <v>80</v>
      </c>
      <c r="L16" s="27" t="str">
        <f t="shared" si="1"/>
        <v>Under Budget</v>
      </c>
      <c r="M16" s="47" t="str">
        <f t="shared" si="2"/>
        <v>Mar</v>
      </c>
      <c r="N16" s="47">
        <f t="shared" si="3"/>
        <v>3</v>
      </c>
    </row>
    <row r="17" spans="2:14" ht="18" customHeight="1" x14ac:dyDescent="0.25">
      <c r="B17" s="48">
        <v>45720</v>
      </c>
      <c r="C17" s="49" t="s">
        <v>62</v>
      </c>
      <c r="D17" s="28" t="s">
        <v>51</v>
      </c>
      <c r="E17" s="28" t="s">
        <v>63</v>
      </c>
      <c r="F17" s="50" t="s">
        <v>64</v>
      </c>
      <c r="G17" s="51" t="s">
        <v>49</v>
      </c>
      <c r="H17" s="28" t="s">
        <v>18</v>
      </c>
      <c r="I17" s="29">
        <v>980</v>
      </c>
      <c r="J17" s="29">
        <v>1050</v>
      </c>
      <c r="K17" s="30">
        <f t="shared" si="0"/>
        <v>70</v>
      </c>
      <c r="L17" s="32" t="str">
        <f t="shared" si="1"/>
        <v>Under Budget</v>
      </c>
      <c r="M17" s="52" t="str">
        <f t="shared" si="2"/>
        <v>Mar</v>
      </c>
      <c r="N17" s="52">
        <f t="shared" si="3"/>
        <v>3</v>
      </c>
    </row>
    <row r="18" spans="2:14" ht="18" customHeight="1" x14ac:dyDescent="0.25">
      <c r="B18" s="43">
        <v>45720</v>
      </c>
      <c r="C18" s="44" t="s">
        <v>62</v>
      </c>
      <c r="D18" s="23" t="s">
        <v>51</v>
      </c>
      <c r="E18" s="23" t="s">
        <v>63</v>
      </c>
      <c r="F18" s="45" t="s">
        <v>64</v>
      </c>
      <c r="G18" s="46" t="s">
        <v>49</v>
      </c>
      <c r="H18" s="23" t="s">
        <v>19</v>
      </c>
      <c r="I18" s="24">
        <v>356</v>
      </c>
      <c r="J18" s="24">
        <v>425</v>
      </c>
      <c r="K18" s="25">
        <f t="shared" si="0"/>
        <v>69</v>
      </c>
      <c r="L18" s="27" t="str">
        <f t="shared" si="1"/>
        <v>Under Budget</v>
      </c>
      <c r="M18" s="47" t="str">
        <f t="shared" si="2"/>
        <v>Mar</v>
      </c>
      <c r="N18" s="47">
        <f t="shared" si="3"/>
        <v>3</v>
      </c>
    </row>
    <row r="19" spans="2:14" ht="18" customHeight="1" x14ac:dyDescent="0.25">
      <c r="B19" s="48">
        <v>45735</v>
      </c>
      <c r="C19" s="49" t="s">
        <v>65</v>
      </c>
      <c r="D19" s="28" t="s">
        <v>46</v>
      </c>
      <c r="E19" s="28" t="s">
        <v>66</v>
      </c>
      <c r="F19" s="50" t="s">
        <v>67</v>
      </c>
      <c r="G19" s="51" t="s">
        <v>49</v>
      </c>
      <c r="H19" s="28" t="s">
        <v>17</v>
      </c>
      <c r="I19" s="29">
        <v>525</v>
      </c>
      <c r="J19" s="29">
        <v>600</v>
      </c>
      <c r="K19" s="30">
        <f t="shared" si="0"/>
        <v>75</v>
      </c>
      <c r="L19" s="32" t="str">
        <f t="shared" si="1"/>
        <v>Under Budget</v>
      </c>
      <c r="M19" s="52" t="str">
        <f t="shared" si="2"/>
        <v>Mar</v>
      </c>
      <c r="N19" s="52">
        <f t="shared" si="3"/>
        <v>3</v>
      </c>
    </row>
    <row r="20" spans="2:14" ht="18" customHeight="1" x14ac:dyDescent="0.25">
      <c r="B20" s="43">
        <v>45735</v>
      </c>
      <c r="C20" s="44" t="s">
        <v>65</v>
      </c>
      <c r="D20" s="23" t="s">
        <v>46</v>
      </c>
      <c r="E20" s="23" t="s">
        <v>66</v>
      </c>
      <c r="F20" s="45" t="s">
        <v>67</v>
      </c>
      <c r="G20" s="46" t="s">
        <v>49</v>
      </c>
      <c r="H20" s="23" t="s">
        <v>18</v>
      </c>
      <c r="I20" s="24">
        <v>890</v>
      </c>
      <c r="J20" s="24">
        <v>975</v>
      </c>
      <c r="K20" s="25">
        <f t="shared" si="0"/>
        <v>85</v>
      </c>
      <c r="L20" s="27" t="str">
        <f t="shared" si="1"/>
        <v>Under Budget</v>
      </c>
      <c r="M20" s="47" t="str">
        <f t="shared" si="2"/>
        <v>Mar</v>
      </c>
      <c r="N20" s="47">
        <f t="shared" si="3"/>
        <v>3</v>
      </c>
    </row>
    <row r="21" spans="2:14" ht="18" customHeight="1" x14ac:dyDescent="0.25">
      <c r="B21" s="48">
        <v>45735</v>
      </c>
      <c r="C21" s="49" t="s">
        <v>65</v>
      </c>
      <c r="D21" s="28" t="s">
        <v>46</v>
      </c>
      <c r="E21" s="28" t="s">
        <v>66</v>
      </c>
      <c r="F21" s="50" t="s">
        <v>67</v>
      </c>
      <c r="G21" s="51" t="s">
        <v>49</v>
      </c>
      <c r="H21" s="28" t="s">
        <v>21</v>
      </c>
      <c r="I21" s="29">
        <v>650</v>
      </c>
      <c r="J21" s="29">
        <v>700</v>
      </c>
      <c r="K21" s="30">
        <f t="shared" si="0"/>
        <v>50</v>
      </c>
      <c r="L21" s="32" t="str">
        <f t="shared" si="1"/>
        <v>Under Budget</v>
      </c>
      <c r="M21" s="52" t="str">
        <f t="shared" si="2"/>
        <v>Mar</v>
      </c>
      <c r="N21" s="52">
        <f t="shared" si="3"/>
        <v>3</v>
      </c>
    </row>
    <row r="22" spans="2:14" ht="18" customHeight="1" x14ac:dyDescent="0.25">
      <c r="B22" s="43">
        <v>45755</v>
      </c>
      <c r="C22" s="44" t="s">
        <v>68</v>
      </c>
      <c r="D22" s="23" t="s">
        <v>69</v>
      </c>
      <c r="E22" s="23" t="s">
        <v>70</v>
      </c>
      <c r="F22" s="45" t="s">
        <v>71</v>
      </c>
      <c r="G22" s="46" t="s">
        <v>49</v>
      </c>
      <c r="H22" s="23" t="s">
        <v>17</v>
      </c>
      <c r="I22" s="24">
        <v>525</v>
      </c>
      <c r="J22" s="24">
        <v>650</v>
      </c>
      <c r="K22" s="25">
        <f t="shared" si="0"/>
        <v>125</v>
      </c>
      <c r="L22" s="27" t="str">
        <f t="shared" si="1"/>
        <v>Under Budget</v>
      </c>
      <c r="M22" s="47" t="str">
        <f t="shared" si="2"/>
        <v>Apr</v>
      </c>
      <c r="N22" s="47">
        <f t="shared" si="3"/>
        <v>4</v>
      </c>
    </row>
    <row r="23" spans="2:14" ht="18" customHeight="1" x14ac:dyDescent="0.25">
      <c r="B23" s="48">
        <v>45755</v>
      </c>
      <c r="C23" s="49" t="s">
        <v>68</v>
      </c>
      <c r="D23" s="28" t="s">
        <v>69</v>
      </c>
      <c r="E23" s="28" t="s">
        <v>70</v>
      </c>
      <c r="F23" s="50" t="s">
        <v>71</v>
      </c>
      <c r="G23" s="51" t="s">
        <v>49</v>
      </c>
      <c r="H23" s="28" t="s">
        <v>18</v>
      </c>
      <c r="I23" s="29">
        <v>1450</v>
      </c>
      <c r="J23" s="29">
        <v>1500</v>
      </c>
      <c r="K23" s="30">
        <f t="shared" si="0"/>
        <v>50</v>
      </c>
      <c r="L23" s="32" t="str">
        <f t="shared" si="1"/>
        <v>Under Budget</v>
      </c>
      <c r="M23" s="52" t="str">
        <f t="shared" si="2"/>
        <v>Apr</v>
      </c>
      <c r="N23" s="52">
        <f t="shared" si="3"/>
        <v>4</v>
      </c>
    </row>
    <row r="24" spans="2:14" ht="18" customHeight="1" x14ac:dyDescent="0.25">
      <c r="B24" s="43">
        <v>45755</v>
      </c>
      <c r="C24" s="44" t="s">
        <v>68</v>
      </c>
      <c r="D24" s="23" t="s">
        <v>69</v>
      </c>
      <c r="E24" s="23" t="s">
        <v>70</v>
      </c>
      <c r="F24" s="45" t="s">
        <v>71</v>
      </c>
      <c r="G24" s="46" t="s">
        <v>54</v>
      </c>
      <c r="H24" s="23" t="s">
        <v>20</v>
      </c>
      <c r="I24" s="24">
        <v>325</v>
      </c>
      <c r="J24" s="24">
        <v>400</v>
      </c>
      <c r="K24" s="25">
        <f t="shared" si="0"/>
        <v>75</v>
      </c>
      <c r="L24" s="27" t="str">
        <f t="shared" si="1"/>
        <v>Under Budget</v>
      </c>
      <c r="M24" s="47" t="str">
        <f t="shared" si="2"/>
        <v>Apr</v>
      </c>
      <c r="N24" s="47">
        <f t="shared" si="3"/>
        <v>4</v>
      </c>
    </row>
    <row r="25" spans="2:14" ht="18" customHeight="1" x14ac:dyDescent="0.25">
      <c r="B25" s="48">
        <v>45769</v>
      </c>
      <c r="C25" s="49" t="s">
        <v>72</v>
      </c>
      <c r="D25" s="28" t="s">
        <v>56</v>
      </c>
      <c r="E25" s="28" t="s">
        <v>73</v>
      </c>
      <c r="F25" s="50" t="s">
        <v>74</v>
      </c>
      <c r="G25" s="51" t="s">
        <v>49</v>
      </c>
      <c r="H25" s="28" t="s">
        <v>17</v>
      </c>
      <c r="I25" s="29">
        <v>285</v>
      </c>
      <c r="J25" s="29">
        <v>350</v>
      </c>
      <c r="K25" s="30">
        <f t="shared" si="0"/>
        <v>65</v>
      </c>
      <c r="L25" s="32" t="str">
        <f t="shared" si="1"/>
        <v>Under Budget</v>
      </c>
      <c r="M25" s="52" t="str">
        <f t="shared" si="2"/>
        <v>Apr</v>
      </c>
      <c r="N25" s="52">
        <f t="shared" si="3"/>
        <v>4</v>
      </c>
    </row>
    <row r="26" spans="2:14" ht="18" customHeight="1" x14ac:dyDescent="0.25">
      <c r="B26" s="43">
        <v>45769</v>
      </c>
      <c r="C26" s="44" t="s">
        <v>72</v>
      </c>
      <c r="D26" s="23" t="s">
        <v>56</v>
      </c>
      <c r="E26" s="23" t="s">
        <v>73</v>
      </c>
      <c r="F26" s="45" t="s">
        <v>74</v>
      </c>
      <c r="G26" s="46" t="s">
        <v>49</v>
      </c>
      <c r="H26" s="23" t="s">
        <v>18</v>
      </c>
      <c r="I26" s="24">
        <v>540</v>
      </c>
      <c r="J26" s="24">
        <v>650</v>
      </c>
      <c r="K26" s="25">
        <f t="shared" si="0"/>
        <v>110</v>
      </c>
      <c r="L26" s="27" t="str">
        <f t="shared" si="1"/>
        <v>Under Budget</v>
      </c>
      <c r="M26" s="47" t="str">
        <f t="shared" si="2"/>
        <v>Apr</v>
      </c>
      <c r="N26" s="47">
        <f t="shared" si="3"/>
        <v>4</v>
      </c>
    </row>
    <row r="27" spans="2:14" ht="18" customHeight="1" x14ac:dyDescent="0.25">
      <c r="B27" s="48">
        <v>45783</v>
      </c>
      <c r="C27" s="49" t="s">
        <v>75</v>
      </c>
      <c r="D27" s="28" t="s">
        <v>51</v>
      </c>
      <c r="E27" s="28" t="s">
        <v>76</v>
      </c>
      <c r="F27" s="50" t="s">
        <v>77</v>
      </c>
      <c r="G27" s="51" t="s">
        <v>49</v>
      </c>
      <c r="H27" s="28" t="s">
        <v>17</v>
      </c>
      <c r="I27" s="29">
        <v>425</v>
      </c>
      <c r="J27" s="29">
        <v>500</v>
      </c>
      <c r="K27" s="30">
        <f t="shared" si="0"/>
        <v>75</v>
      </c>
      <c r="L27" s="32" t="str">
        <f t="shared" si="1"/>
        <v>Under Budget</v>
      </c>
      <c r="M27" s="52" t="str">
        <f t="shared" si="2"/>
        <v>May</v>
      </c>
      <c r="N27" s="52">
        <f t="shared" si="3"/>
        <v>5</v>
      </c>
    </row>
    <row r="28" spans="2:14" ht="18" customHeight="1" x14ac:dyDescent="0.25">
      <c r="B28" s="43">
        <v>45783</v>
      </c>
      <c r="C28" s="44" t="s">
        <v>75</v>
      </c>
      <c r="D28" s="23" t="s">
        <v>51</v>
      </c>
      <c r="E28" s="23" t="s">
        <v>76</v>
      </c>
      <c r="F28" s="45" t="s">
        <v>77</v>
      </c>
      <c r="G28" s="46" t="s">
        <v>49</v>
      </c>
      <c r="H28" s="23" t="s">
        <v>18</v>
      </c>
      <c r="I28" s="24">
        <v>720</v>
      </c>
      <c r="J28" s="24">
        <v>825</v>
      </c>
      <c r="K28" s="25">
        <f t="shared" si="0"/>
        <v>105</v>
      </c>
      <c r="L28" s="27" t="str">
        <f t="shared" si="1"/>
        <v>Under Budget</v>
      </c>
      <c r="M28" s="47" t="str">
        <f t="shared" si="2"/>
        <v>May</v>
      </c>
      <c r="N28" s="47">
        <f t="shared" si="3"/>
        <v>5</v>
      </c>
    </row>
    <row r="29" spans="2:14" ht="18" customHeight="1" x14ac:dyDescent="0.25">
      <c r="B29" s="48">
        <v>45783</v>
      </c>
      <c r="C29" s="49" t="s">
        <v>75</v>
      </c>
      <c r="D29" s="28" t="s">
        <v>51</v>
      </c>
      <c r="E29" s="28" t="s">
        <v>76</v>
      </c>
      <c r="F29" s="50" t="s">
        <v>77</v>
      </c>
      <c r="G29" s="51" t="s">
        <v>49</v>
      </c>
      <c r="H29" s="28" t="s">
        <v>19</v>
      </c>
      <c r="I29" s="29">
        <v>445</v>
      </c>
      <c r="J29" s="29">
        <v>500</v>
      </c>
      <c r="K29" s="30">
        <f t="shared" si="0"/>
        <v>55</v>
      </c>
      <c r="L29" s="32" t="str">
        <f t="shared" si="1"/>
        <v>Under Budget</v>
      </c>
      <c r="M29" s="52" t="str">
        <f t="shared" si="2"/>
        <v>May</v>
      </c>
      <c r="N29" s="52">
        <f t="shared" si="3"/>
        <v>5</v>
      </c>
    </row>
    <row r="30" spans="2:14" ht="18" customHeight="1" x14ac:dyDescent="0.25">
      <c r="B30" s="43">
        <v>45797</v>
      </c>
      <c r="C30" s="44" t="s">
        <v>78</v>
      </c>
      <c r="D30" s="23" t="s">
        <v>60</v>
      </c>
      <c r="E30" s="23" t="s">
        <v>79</v>
      </c>
      <c r="F30" s="45" t="s">
        <v>80</v>
      </c>
      <c r="G30" s="46" t="s">
        <v>49</v>
      </c>
      <c r="H30" s="23" t="s">
        <v>17</v>
      </c>
      <c r="I30" s="24">
        <v>645</v>
      </c>
      <c r="J30" s="24">
        <v>700</v>
      </c>
      <c r="K30" s="25">
        <f t="shared" si="0"/>
        <v>55</v>
      </c>
      <c r="L30" s="27" t="str">
        <f t="shared" si="1"/>
        <v>Under Budget</v>
      </c>
      <c r="M30" s="47" t="str">
        <f t="shared" si="2"/>
        <v>May</v>
      </c>
      <c r="N30" s="47">
        <f t="shared" si="3"/>
        <v>5</v>
      </c>
    </row>
    <row r="31" spans="2:14" ht="18" customHeight="1" x14ac:dyDescent="0.25">
      <c r="B31" s="48">
        <v>45797</v>
      </c>
      <c r="C31" s="49" t="s">
        <v>78</v>
      </c>
      <c r="D31" s="28" t="s">
        <v>60</v>
      </c>
      <c r="E31" s="28" t="s">
        <v>79</v>
      </c>
      <c r="F31" s="50" t="s">
        <v>80</v>
      </c>
      <c r="G31" s="51" t="s">
        <v>49</v>
      </c>
      <c r="H31" s="28" t="s">
        <v>18</v>
      </c>
      <c r="I31" s="29">
        <v>1680</v>
      </c>
      <c r="J31" s="29">
        <v>1750</v>
      </c>
      <c r="K31" s="30">
        <f t="shared" si="0"/>
        <v>70</v>
      </c>
      <c r="L31" s="32" t="str">
        <f t="shared" si="1"/>
        <v>Under Budget</v>
      </c>
      <c r="M31" s="52" t="str">
        <f t="shared" si="2"/>
        <v>May</v>
      </c>
      <c r="N31" s="52">
        <f t="shared" si="3"/>
        <v>5</v>
      </c>
    </row>
    <row r="32" spans="2:14" ht="18" customHeight="1" x14ac:dyDescent="0.25">
      <c r="B32" s="43">
        <v>45812</v>
      </c>
      <c r="C32" s="44" t="s">
        <v>81</v>
      </c>
      <c r="D32" s="23" t="s">
        <v>46</v>
      </c>
      <c r="E32" s="23" t="s">
        <v>82</v>
      </c>
      <c r="F32" s="45" t="s">
        <v>83</v>
      </c>
      <c r="G32" s="46" t="s">
        <v>49</v>
      </c>
      <c r="H32" s="23" t="s">
        <v>17</v>
      </c>
      <c r="I32" s="24">
        <v>895</v>
      </c>
      <c r="J32" s="24">
        <v>1100</v>
      </c>
      <c r="K32" s="25">
        <f t="shared" si="0"/>
        <v>205</v>
      </c>
      <c r="L32" s="27" t="str">
        <f t="shared" si="1"/>
        <v>Under Budget</v>
      </c>
      <c r="M32" s="47" t="str">
        <f t="shared" si="2"/>
        <v>Jun</v>
      </c>
      <c r="N32" s="47">
        <f t="shared" si="3"/>
        <v>6</v>
      </c>
    </row>
    <row r="33" spans="2:14" ht="18" customHeight="1" x14ac:dyDescent="0.25">
      <c r="B33" s="48">
        <v>45812</v>
      </c>
      <c r="C33" s="49" t="s">
        <v>81</v>
      </c>
      <c r="D33" s="28" t="s">
        <v>46</v>
      </c>
      <c r="E33" s="28" t="s">
        <v>82</v>
      </c>
      <c r="F33" s="50" t="s">
        <v>83</v>
      </c>
      <c r="G33" s="51" t="s">
        <v>49</v>
      </c>
      <c r="H33" s="28" t="s">
        <v>18</v>
      </c>
      <c r="I33" s="29">
        <v>2150</v>
      </c>
      <c r="J33" s="29">
        <v>2200</v>
      </c>
      <c r="K33" s="30">
        <f t="shared" si="0"/>
        <v>50</v>
      </c>
      <c r="L33" s="32" t="str">
        <f t="shared" si="1"/>
        <v>Under Budget</v>
      </c>
      <c r="M33" s="52" t="str">
        <f t="shared" si="2"/>
        <v>Jun</v>
      </c>
      <c r="N33" s="52">
        <f t="shared" si="3"/>
        <v>6</v>
      </c>
    </row>
    <row r="34" spans="2:14" ht="18" customHeight="1" x14ac:dyDescent="0.25">
      <c r="B34" s="43">
        <v>45812</v>
      </c>
      <c r="C34" s="44" t="s">
        <v>81</v>
      </c>
      <c r="D34" s="23" t="s">
        <v>46</v>
      </c>
      <c r="E34" s="23" t="s">
        <v>82</v>
      </c>
      <c r="F34" s="45" t="s">
        <v>83</v>
      </c>
      <c r="G34" s="46" t="s">
        <v>49</v>
      </c>
      <c r="H34" s="23" t="s">
        <v>21</v>
      </c>
      <c r="I34" s="24">
        <v>895</v>
      </c>
      <c r="J34" s="24">
        <v>950</v>
      </c>
      <c r="K34" s="25">
        <f t="shared" si="0"/>
        <v>55</v>
      </c>
      <c r="L34" s="27" t="str">
        <f t="shared" si="1"/>
        <v>Under Budget</v>
      </c>
      <c r="M34" s="47" t="str">
        <f t="shared" si="2"/>
        <v>Jun</v>
      </c>
      <c r="N34" s="47">
        <f t="shared" si="3"/>
        <v>6</v>
      </c>
    </row>
    <row r="35" spans="2:14" ht="18" customHeight="1" x14ac:dyDescent="0.25">
      <c r="B35" s="48">
        <v>45826</v>
      </c>
      <c r="C35" s="49" t="s">
        <v>84</v>
      </c>
      <c r="D35" s="28" t="s">
        <v>51</v>
      </c>
      <c r="E35" s="28" t="s">
        <v>85</v>
      </c>
      <c r="F35" s="50" t="s">
        <v>86</v>
      </c>
      <c r="G35" s="51" t="s">
        <v>49</v>
      </c>
      <c r="H35" s="28" t="s">
        <v>17</v>
      </c>
      <c r="I35" s="29">
        <v>388</v>
      </c>
      <c r="J35" s="29">
        <v>450</v>
      </c>
      <c r="K35" s="30">
        <f t="shared" si="0"/>
        <v>62</v>
      </c>
      <c r="L35" s="32" t="str">
        <f t="shared" si="1"/>
        <v>Under Budget</v>
      </c>
      <c r="M35" s="52" t="str">
        <f t="shared" si="2"/>
        <v>Jun</v>
      </c>
      <c r="N35" s="52">
        <f t="shared" si="3"/>
        <v>6</v>
      </c>
    </row>
    <row r="36" spans="2:14" ht="18" customHeight="1" x14ac:dyDescent="0.25">
      <c r="B36" s="43">
        <v>45826</v>
      </c>
      <c r="C36" s="44" t="s">
        <v>84</v>
      </c>
      <c r="D36" s="23" t="s">
        <v>51</v>
      </c>
      <c r="E36" s="23" t="s">
        <v>85</v>
      </c>
      <c r="F36" s="45" t="s">
        <v>86</v>
      </c>
      <c r="G36" s="46" t="s">
        <v>49</v>
      </c>
      <c r="H36" s="23" t="s">
        <v>18</v>
      </c>
      <c r="I36" s="24">
        <v>560</v>
      </c>
      <c r="J36" s="24">
        <v>625</v>
      </c>
      <c r="K36" s="25">
        <f t="shared" ref="K36:K67" si="4">J36-I36</f>
        <v>65</v>
      </c>
      <c r="L36" s="27" t="str">
        <f t="shared" ref="L36:L67" si="5">IF(K36&gt;=0,"Under Budget","Over Budget")</f>
        <v>Under Budget</v>
      </c>
      <c r="M36" s="47" t="str">
        <f t="shared" ref="M36:M61" si="6">TEXT(B36,"mmm")</f>
        <v>Jun</v>
      </c>
      <c r="N36" s="47">
        <f t="shared" ref="N36:N61" si="7">MONTH(B36)</f>
        <v>6</v>
      </c>
    </row>
    <row r="37" spans="2:14" ht="18" customHeight="1" x14ac:dyDescent="0.25">
      <c r="B37" s="48">
        <v>45847</v>
      </c>
      <c r="C37" s="49" t="s">
        <v>87</v>
      </c>
      <c r="D37" s="28" t="s">
        <v>56</v>
      </c>
      <c r="E37" s="28" t="s">
        <v>88</v>
      </c>
      <c r="F37" s="50" t="s">
        <v>89</v>
      </c>
      <c r="G37" s="51" t="s">
        <v>49</v>
      </c>
      <c r="H37" s="28" t="s">
        <v>17</v>
      </c>
      <c r="I37" s="29">
        <v>485</v>
      </c>
      <c r="J37" s="29">
        <v>550</v>
      </c>
      <c r="K37" s="30">
        <f t="shared" si="4"/>
        <v>65</v>
      </c>
      <c r="L37" s="32" t="str">
        <f t="shared" si="5"/>
        <v>Under Budget</v>
      </c>
      <c r="M37" s="52" t="str">
        <f t="shared" si="6"/>
        <v>Jul</v>
      </c>
      <c r="N37" s="52">
        <f t="shared" si="7"/>
        <v>7</v>
      </c>
    </row>
    <row r="38" spans="2:14" ht="18" customHeight="1" x14ac:dyDescent="0.25">
      <c r="B38" s="43">
        <v>45847</v>
      </c>
      <c r="C38" s="44" t="s">
        <v>87</v>
      </c>
      <c r="D38" s="23" t="s">
        <v>56</v>
      </c>
      <c r="E38" s="23" t="s">
        <v>88</v>
      </c>
      <c r="F38" s="45" t="s">
        <v>89</v>
      </c>
      <c r="G38" s="46" t="s">
        <v>49</v>
      </c>
      <c r="H38" s="23" t="s">
        <v>18</v>
      </c>
      <c r="I38" s="24">
        <v>850</v>
      </c>
      <c r="J38" s="24">
        <v>900</v>
      </c>
      <c r="K38" s="25">
        <f t="shared" si="4"/>
        <v>50</v>
      </c>
      <c r="L38" s="27" t="str">
        <f t="shared" si="5"/>
        <v>Under Budget</v>
      </c>
      <c r="M38" s="47" t="str">
        <f t="shared" si="6"/>
        <v>Jul</v>
      </c>
      <c r="N38" s="47">
        <f t="shared" si="7"/>
        <v>7</v>
      </c>
    </row>
    <row r="39" spans="2:14" ht="18" customHeight="1" x14ac:dyDescent="0.25">
      <c r="B39" s="48">
        <v>45847</v>
      </c>
      <c r="C39" s="49" t="s">
        <v>87</v>
      </c>
      <c r="D39" s="28" t="s">
        <v>56</v>
      </c>
      <c r="E39" s="28" t="s">
        <v>88</v>
      </c>
      <c r="F39" s="50" t="s">
        <v>89</v>
      </c>
      <c r="G39" s="51" t="s">
        <v>49</v>
      </c>
      <c r="H39" s="28" t="s">
        <v>21</v>
      </c>
      <c r="I39" s="29">
        <v>625</v>
      </c>
      <c r="J39" s="29">
        <v>700</v>
      </c>
      <c r="K39" s="30">
        <f t="shared" si="4"/>
        <v>75</v>
      </c>
      <c r="L39" s="32" t="str">
        <f t="shared" si="5"/>
        <v>Under Budget</v>
      </c>
      <c r="M39" s="52" t="str">
        <f t="shared" si="6"/>
        <v>Jul</v>
      </c>
      <c r="N39" s="52">
        <f t="shared" si="7"/>
        <v>7</v>
      </c>
    </row>
    <row r="40" spans="2:14" ht="18" customHeight="1" x14ac:dyDescent="0.25">
      <c r="B40" s="43">
        <v>45861</v>
      </c>
      <c r="C40" s="44" t="s">
        <v>90</v>
      </c>
      <c r="D40" s="23" t="s">
        <v>51</v>
      </c>
      <c r="E40" s="23" t="s">
        <v>91</v>
      </c>
      <c r="F40" s="45" t="s">
        <v>92</v>
      </c>
      <c r="G40" s="46" t="s">
        <v>49</v>
      </c>
      <c r="H40" s="23" t="s">
        <v>17</v>
      </c>
      <c r="I40" s="24">
        <v>412</v>
      </c>
      <c r="J40" s="24">
        <v>475</v>
      </c>
      <c r="K40" s="25">
        <f t="shared" si="4"/>
        <v>63</v>
      </c>
      <c r="L40" s="27" t="str">
        <f t="shared" si="5"/>
        <v>Under Budget</v>
      </c>
      <c r="M40" s="47" t="str">
        <f t="shared" si="6"/>
        <v>Jul</v>
      </c>
      <c r="N40" s="47">
        <f t="shared" si="7"/>
        <v>7</v>
      </c>
    </row>
    <row r="41" spans="2:14" ht="18" customHeight="1" x14ac:dyDescent="0.25">
      <c r="B41" s="48">
        <v>45861</v>
      </c>
      <c r="C41" s="49" t="s">
        <v>90</v>
      </c>
      <c r="D41" s="28" t="s">
        <v>51</v>
      </c>
      <c r="E41" s="28" t="s">
        <v>91</v>
      </c>
      <c r="F41" s="50" t="s">
        <v>92</v>
      </c>
      <c r="G41" s="51" t="s">
        <v>49</v>
      </c>
      <c r="H41" s="28" t="s">
        <v>18</v>
      </c>
      <c r="I41" s="29">
        <v>620</v>
      </c>
      <c r="J41" s="29">
        <v>700</v>
      </c>
      <c r="K41" s="30">
        <f t="shared" si="4"/>
        <v>80</v>
      </c>
      <c r="L41" s="32" t="str">
        <f t="shared" si="5"/>
        <v>Under Budget</v>
      </c>
      <c r="M41" s="52" t="str">
        <f t="shared" si="6"/>
        <v>Jul</v>
      </c>
      <c r="N41" s="52">
        <f t="shared" si="7"/>
        <v>7</v>
      </c>
    </row>
    <row r="42" spans="2:14" ht="18" customHeight="1" x14ac:dyDescent="0.25">
      <c r="B42" s="43">
        <v>45875</v>
      </c>
      <c r="C42" s="44" t="s">
        <v>93</v>
      </c>
      <c r="D42" s="23" t="s">
        <v>60</v>
      </c>
      <c r="E42" s="23" t="s">
        <v>47</v>
      </c>
      <c r="F42" s="45" t="s">
        <v>94</v>
      </c>
      <c r="G42" s="46" t="s">
        <v>49</v>
      </c>
      <c r="H42" s="23" t="s">
        <v>17</v>
      </c>
      <c r="I42" s="24">
        <v>695</v>
      </c>
      <c r="J42" s="24">
        <v>750</v>
      </c>
      <c r="K42" s="25">
        <f t="shared" si="4"/>
        <v>55</v>
      </c>
      <c r="L42" s="27" t="str">
        <f t="shared" si="5"/>
        <v>Under Budget</v>
      </c>
      <c r="M42" s="47" t="str">
        <f t="shared" si="6"/>
        <v>Aug</v>
      </c>
      <c r="N42" s="47">
        <f t="shared" si="7"/>
        <v>8</v>
      </c>
    </row>
    <row r="43" spans="2:14" ht="18" customHeight="1" x14ac:dyDescent="0.25">
      <c r="B43" s="48">
        <v>45875</v>
      </c>
      <c r="C43" s="49" t="s">
        <v>93</v>
      </c>
      <c r="D43" s="28" t="s">
        <v>60</v>
      </c>
      <c r="E43" s="28" t="s">
        <v>47</v>
      </c>
      <c r="F43" s="50" t="s">
        <v>94</v>
      </c>
      <c r="G43" s="51" t="s">
        <v>49</v>
      </c>
      <c r="H43" s="28" t="s">
        <v>18</v>
      </c>
      <c r="I43" s="29">
        <v>1425</v>
      </c>
      <c r="J43" s="29">
        <v>1500</v>
      </c>
      <c r="K43" s="30">
        <f t="shared" si="4"/>
        <v>75</v>
      </c>
      <c r="L43" s="32" t="str">
        <f t="shared" si="5"/>
        <v>Under Budget</v>
      </c>
      <c r="M43" s="52" t="str">
        <f t="shared" si="6"/>
        <v>Aug</v>
      </c>
      <c r="N43" s="52">
        <f t="shared" si="7"/>
        <v>8</v>
      </c>
    </row>
    <row r="44" spans="2:14" ht="18" customHeight="1" x14ac:dyDescent="0.25">
      <c r="B44" s="43">
        <v>45889</v>
      </c>
      <c r="C44" s="44" t="s">
        <v>95</v>
      </c>
      <c r="D44" s="23" t="s">
        <v>46</v>
      </c>
      <c r="E44" s="23" t="s">
        <v>96</v>
      </c>
      <c r="F44" s="45" t="s">
        <v>97</v>
      </c>
      <c r="G44" s="46" t="s">
        <v>49</v>
      </c>
      <c r="H44" s="23" t="s">
        <v>17</v>
      </c>
      <c r="I44" s="24">
        <v>345</v>
      </c>
      <c r="J44" s="24">
        <v>425</v>
      </c>
      <c r="K44" s="25">
        <f t="shared" si="4"/>
        <v>80</v>
      </c>
      <c r="L44" s="27" t="str">
        <f t="shared" si="5"/>
        <v>Under Budget</v>
      </c>
      <c r="M44" s="47" t="str">
        <f t="shared" si="6"/>
        <v>Aug</v>
      </c>
      <c r="N44" s="47">
        <f t="shared" si="7"/>
        <v>8</v>
      </c>
    </row>
    <row r="45" spans="2:14" ht="18" customHeight="1" x14ac:dyDescent="0.25">
      <c r="B45" s="48">
        <v>45889</v>
      </c>
      <c r="C45" s="49" t="s">
        <v>95</v>
      </c>
      <c r="D45" s="28" t="s">
        <v>46</v>
      </c>
      <c r="E45" s="28" t="s">
        <v>96</v>
      </c>
      <c r="F45" s="50" t="s">
        <v>97</v>
      </c>
      <c r="G45" s="51" t="s">
        <v>49</v>
      </c>
      <c r="H45" s="28" t="s">
        <v>18</v>
      </c>
      <c r="I45" s="29">
        <v>680</v>
      </c>
      <c r="J45" s="29">
        <v>750</v>
      </c>
      <c r="K45" s="30">
        <f t="shared" si="4"/>
        <v>70</v>
      </c>
      <c r="L45" s="32" t="str">
        <f t="shared" si="5"/>
        <v>Under Budget</v>
      </c>
      <c r="M45" s="52" t="str">
        <f t="shared" si="6"/>
        <v>Aug</v>
      </c>
      <c r="N45" s="52">
        <f t="shared" si="7"/>
        <v>8</v>
      </c>
    </row>
    <row r="46" spans="2:14" ht="18" customHeight="1" x14ac:dyDescent="0.25">
      <c r="B46" s="43">
        <v>45903</v>
      </c>
      <c r="C46" s="44" t="s">
        <v>98</v>
      </c>
      <c r="D46" s="23" t="s">
        <v>51</v>
      </c>
      <c r="E46" s="23" t="s">
        <v>99</v>
      </c>
      <c r="F46" s="45" t="s">
        <v>100</v>
      </c>
      <c r="G46" s="46" t="s">
        <v>49</v>
      </c>
      <c r="H46" s="23" t="s">
        <v>17</v>
      </c>
      <c r="I46" s="24">
        <v>185</v>
      </c>
      <c r="J46" s="24">
        <v>250</v>
      </c>
      <c r="K46" s="25">
        <f t="shared" si="4"/>
        <v>65</v>
      </c>
      <c r="L46" s="27" t="str">
        <f t="shared" si="5"/>
        <v>Under Budget</v>
      </c>
      <c r="M46" s="47" t="str">
        <f t="shared" si="6"/>
        <v>Sep</v>
      </c>
      <c r="N46" s="47">
        <f t="shared" si="7"/>
        <v>9</v>
      </c>
    </row>
    <row r="47" spans="2:14" ht="18" customHeight="1" x14ac:dyDescent="0.25">
      <c r="B47" s="48">
        <v>45903</v>
      </c>
      <c r="C47" s="49" t="s">
        <v>98</v>
      </c>
      <c r="D47" s="28" t="s">
        <v>51</v>
      </c>
      <c r="E47" s="28" t="s">
        <v>99</v>
      </c>
      <c r="F47" s="50" t="s">
        <v>100</v>
      </c>
      <c r="G47" s="51" t="s">
        <v>49</v>
      </c>
      <c r="H47" s="28" t="s">
        <v>18</v>
      </c>
      <c r="I47" s="29">
        <v>520</v>
      </c>
      <c r="J47" s="29">
        <v>600</v>
      </c>
      <c r="K47" s="30">
        <f t="shared" si="4"/>
        <v>80</v>
      </c>
      <c r="L47" s="32" t="str">
        <f t="shared" si="5"/>
        <v>Under Budget</v>
      </c>
      <c r="M47" s="52" t="str">
        <f t="shared" si="6"/>
        <v>Sep</v>
      </c>
      <c r="N47" s="52">
        <f t="shared" si="7"/>
        <v>9</v>
      </c>
    </row>
    <row r="48" spans="2:14" ht="18" customHeight="1" x14ac:dyDescent="0.25">
      <c r="B48" s="43">
        <v>45903</v>
      </c>
      <c r="C48" s="44" t="s">
        <v>98</v>
      </c>
      <c r="D48" s="23" t="s">
        <v>51</v>
      </c>
      <c r="E48" s="23" t="s">
        <v>99</v>
      </c>
      <c r="F48" s="45" t="s">
        <v>100</v>
      </c>
      <c r="G48" s="46" t="s">
        <v>49</v>
      </c>
      <c r="H48" s="23" t="s">
        <v>21</v>
      </c>
      <c r="I48" s="24">
        <v>875</v>
      </c>
      <c r="J48" s="24">
        <v>900</v>
      </c>
      <c r="K48" s="25">
        <f t="shared" si="4"/>
        <v>25</v>
      </c>
      <c r="L48" s="27" t="str">
        <f t="shared" si="5"/>
        <v>Under Budget</v>
      </c>
      <c r="M48" s="47" t="str">
        <f t="shared" si="6"/>
        <v>Sep</v>
      </c>
      <c r="N48" s="47">
        <f t="shared" si="7"/>
        <v>9</v>
      </c>
    </row>
    <row r="49" spans="2:14" ht="18" customHeight="1" x14ac:dyDescent="0.25">
      <c r="B49" s="48">
        <v>45917</v>
      </c>
      <c r="C49" s="49" t="s">
        <v>101</v>
      </c>
      <c r="D49" s="28" t="s">
        <v>56</v>
      </c>
      <c r="E49" s="28" t="s">
        <v>102</v>
      </c>
      <c r="F49" s="50" t="s">
        <v>103</v>
      </c>
      <c r="G49" s="51" t="s">
        <v>49</v>
      </c>
      <c r="H49" s="28" t="s">
        <v>17</v>
      </c>
      <c r="I49" s="29">
        <v>525</v>
      </c>
      <c r="J49" s="29">
        <v>600</v>
      </c>
      <c r="K49" s="30">
        <f t="shared" si="4"/>
        <v>75</v>
      </c>
      <c r="L49" s="32" t="str">
        <f t="shared" si="5"/>
        <v>Under Budget</v>
      </c>
      <c r="M49" s="52" t="str">
        <f t="shared" si="6"/>
        <v>Sep</v>
      </c>
      <c r="N49" s="52">
        <f t="shared" si="7"/>
        <v>9</v>
      </c>
    </row>
    <row r="50" spans="2:14" ht="18" customHeight="1" x14ac:dyDescent="0.25">
      <c r="B50" s="43">
        <v>45917</v>
      </c>
      <c r="C50" s="44" t="s">
        <v>101</v>
      </c>
      <c r="D50" s="23" t="s">
        <v>56</v>
      </c>
      <c r="E50" s="23" t="s">
        <v>102</v>
      </c>
      <c r="F50" s="45" t="s">
        <v>103</v>
      </c>
      <c r="G50" s="46" t="s">
        <v>49</v>
      </c>
      <c r="H50" s="23" t="s">
        <v>18</v>
      </c>
      <c r="I50" s="24">
        <v>890</v>
      </c>
      <c r="J50" s="24">
        <v>975</v>
      </c>
      <c r="K50" s="25">
        <f t="shared" si="4"/>
        <v>85</v>
      </c>
      <c r="L50" s="27" t="str">
        <f t="shared" si="5"/>
        <v>Under Budget</v>
      </c>
      <c r="M50" s="47" t="str">
        <f t="shared" si="6"/>
        <v>Sep</v>
      </c>
      <c r="N50" s="47">
        <f t="shared" si="7"/>
        <v>9</v>
      </c>
    </row>
    <row r="51" spans="2:14" ht="18" customHeight="1" x14ac:dyDescent="0.25">
      <c r="B51" s="48">
        <v>45938</v>
      </c>
      <c r="C51" s="49" t="s">
        <v>104</v>
      </c>
      <c r="D51" s="28" t="s">
        <v>60</v>
      </c>
      <c r="E51" s="28" t="s">
        <v>47</v>
      </c>
      <c r="F51" s="50" t="s">
        <v>105</v>
      </c>
      <c r="G51" s="51" t="s">
        <v>49</v>
      </c>
      <c r="H51" s="28" t="s">
        <v>17</v>
      </c>
      <c r="I51" s="29">
        <v>725</v>
      </c>
      <c r="J51" s="29">
        <v>775</v>
      </c>
      <c r="K51" s="30">
        <f t="shared" si="4"/>
        <v>50</v>
      </c>
      <c r="L51" s="32" t="str">
        <f t="shared" si="5"/>
        <v>Under Budget</v>
      </c>
      <c r="M51" s="52" t="str">
        <f t="shared" si="6"/>
        <v>Oct</v>
      </c>
      <c r="N51" s="52">
        <f t="shared" si="7"/>
        <v>10</v>
      </c>
    </row>
    <row r="52" spans="2:14" ht="18" customHeight="1" x14ac:dyDescent="0.25">
      <c r="B52" s="43">
        <v>45938</v>
      </c>
      <c r="C52" s="44" t="s">
        <v>104</v>
      </c>
      <c r="D52" s="23" t="s">
        <v>60</v>
      </c>
      <c r="E52" s="23" t="s">
        <v>47</v>
      </c>
      <c r="F52" s="45" t="s">
        <v>105</v>
      </c>
      <c r="G52" s="46" t="s">
        <v>49</v>
      </c>
      <c r="H52" s="23" t="s">
        <v>18</v>
      </c>
      <c r="I52" s="24">
        <v>1525</v>
      </c>
      <c r="J52" s="24">
        <v>1600</v>
      </c>
      <c r="K52" s="25">
        <f t="shared" si="4"/>
        <v>75</v>
      </c>
      <c r="L52" s="27" t="str">
        <f t="shared" si="5"/>
        <v>Under Budget</v>
      </c>
      <c r="M52" s="47" t="str">
        <f t="shared" si="6"/>
        <v>Oct</v>
      </c>
      <c r="N52" s="47">
        <f t="shared" si="7"/>
        <v>10</v>
      </c>
    </row>
    <row r="53" spans="2:14" ht="18" customHeight="1" x14ac:dyDescent="0.25">
      <c r="B53" s="48">
        <v>45938</v>
      </c>
      <c r="C53" s="49" t="s">
        <v>104</v>
      </c>
      <c r="D53" s="28" t="s">
        <v>60</v>
      </c>
      <c r="E53" s="28" t="s">
        <v>47</v>
      </c>
      <c r="F53" s="50" t="s">
        <v>105</v>
      </c>
      <c r="G53" s="51" t="s">
        <v>54</v>
      </c>
      <c r="H53" s="28" t="s">
        <v>20</v>
      </c>
      <c r="I53" s="29">
        <v>245</v>
      </c>
      <c r="J53" s="29">
        <v>300</v>
      </c>
      <c r="K53" s="30">
        <f t="shared" si="4"/>
        <v>55</v>
      </c>
      <c r="L53" s="32" t="str">
        <f t="shared" si="5"/>
        <v>Under Budget</v>
      </c>
      <c r="M53" s="52" t="str">
        <f t="shared" si="6"/>
        <v>Oct</v>
      </c>
      <c r="N53" s="52">
        <f t="shared" si="7"/>
        <v>10</v>
      </c>
    </row>
    <row r="54" spans="2:14" ht="18" customHeight="1" x14ac:dyDescent="0.25">
      <c r="B54" s="43">
        <v>45952</v>
      </c>
      <c r="C54" s="44" t="s">
        <v>106</v>
      </c>
      <c r="D54" s="23" t="s">
        <v>51</v>
      </c>
      <c r="E54" s="23" t="s">
        <v>107</v>
      </c>
      <c r="F54" s="45" t="s">
        <v>108</v>
      </c>
      <c r="G54" s="46" t="s">
        <v>49</v>
      </c>
      <c r="H54" s="23" t="s">
        <v>17</v>
      </c>
      <c r="I54" s="24">
        <v>385</v>
      </c>
      <c r="J54" s="24">
        <v>425</v>
      </c>
      <c r="K54" s="25">
        <f t="shared" si="4"/>
        <v>40</v>
      </c>
      <c r="L54" s="27" t="str">
        <f t="shared" si="5"/>
        <v>Under Budget</v>
      </c>
      <c r="M54" s="47" t="str">
        <f t="shared" si="6"/>
        <v>Oct</v>
      </c>
      <c r="N54" s="47">
        <f t="shared" si="7"/>
        <v>10</v>
      </c>
    </row>
    <row r="55" spans="2:14" ht="18" customHeight="1" x14ac:dyDescent="0.25">
      <c r="B55" s="48">
        <v>45952</v>
      </c>
      <c r="C55" s="49" t="s">
        <v>106</v>
      </c>
      <c r="D55" s="28" t="s">
        <v>51</v>
      </c>
      <c r="E55" s="28" t="s">
        <v>107</v>
      </c>
      <c r="F55" s="50" t="s">
        <v>108</v>
      </c>
      <c r="G55" s="51" t="s">
        <v>49</v>
      </c>
      <c r="H55" s="28" t="s">
        <v>18</v>
      </c>
      <c r="I55" s="29">
        <v>615</v>
      </c>
      <c r="J55" s="29">
        <v>700</v>
      </c>
      <c r="K55" s="30">
        <f t="shared" si="4"/>
        <v>85</v>
      </c>
      <c r="L55" s="32" t="str">
        <f t="shared" si="5"/>
        <v>Under Budget</v>
      </c>
      <c r="M55" s="52" t="str">
        <f t="shared" si="6"/>
        <v>Oct</v>
      </c>
      <c r="N55" s="52">
        <f t="shared" si="7"/>
        <v>10</v>
      </c>
    </row>
    <row r="56" spans="2:14" ht="18" customHeight="1" x14ac:dyDescent="0.25">
      <c r="B56" s="43">
        <v>45966</v>
      </c>
      <c r="C56" s="44" t="s">
        <v>109</v>
      </c>
      <c r="D56" s="23" t="s">
        <v>46</v>
      </c>
      <c r="E56" s="23" t="s">
        <v>110</v>
      </c>
      <c r="F56" s="45" t="s">
        <v>111</v>
      </c>
      <c r="G56" s="46" t="s">
        <v>49</v>
      </c>
      <c r="H56" s="23" t="s">
        <v>17</v>
      </c>
      <c r="I56" s="24">
        <v>495</v>
      </c>
      <c r="J56" s="24">
        <v>550</v>
      </c>
      <c r="K56" s="25">
        <f t="shared" si="4"/>
        <v>55</v>
      </c>
      <c r="L56" s="27" t="str">
        <f t="shared" si="5"/>
        <v>Under Budget</v>
      </c>
      <c r="M56" s="47" t="str">
        <f t="shared" si="6"/>
        <v>Nov</v>
      </c>
      <c r="N56" s="47">
        <f t="shared" si="7"/>
        <v>11</v>
      </c>
    </row>
    <row r="57" spans="2:14" ht="18" customHeight="1" x14ac:dyDescent="0.25">
      <c r="B57" s="48">
        <v>45966</v>
      </c>
      <c r="C57" s="49" t="s">
        <v>109</v>
      </c>
      <c r="D57" s="28" t="s">
        <v>46</v>
      </c>
      <c r="E57" s="28" t="s">
        <v>110</v>
      </c>
      <c r="F57" s="50" t="s">
        <v>111</v>
      </c>
      <c r="G57" s="51" t="s">
        <v>49</v>
      </c>
      <c r="H57" s="28" t="s">
        <v>18</v>
      </c>
      <c r="I57" s="29">
        <v>850</v>
      </c>
      <c r="J57" s="29">
        <v>925</v>
      </c>
      <c r="K57" s="30">
        <f t="shared" si="4"/>
        <v>75</v>
      </c>
      <c r="L57" s="32" t="str">
        <f t="shared" si="5"/>
        <v>Under Budget</v>
      </c>
      <c r="M57" s="52" t="str">
        <f t="shared" si="6"/>
        <v>Nov</v>
      </c>
      <c r="N57" s="52">
        <f t="shared" si="7"/>
        <v>11</v>
      </c>
    </row>
    <row r="58" spans="2:14" ht="18" customHeight="1" x14ac:dyDescent="0.25">
      <c r="B58" s="43">
        <v>45980</v>
      </c>
      <c r="C58" s="44" t="s">
        <v>112</v>
      </c>
      <c r="D58" s="23" t="s">
        <v>56</v>
      </c>
      <c r="E58" s="23" t="s">
        <v>113</v>
      </c>
      <c r="F58" s="45" t="s">
        <v>114</v>
      </c>
      <c r="G58" s="46" t="s">
        <v>49</v>
      </c>
      <c r="H58" s="23" t="s">
        <v>17</v>
      </c>
      <c r="I58" s="24">
        <v>385</v>
      </c>
      <c r="J58" s="24">
        <v>450</v>
      </c>
      <c r="K58" s="25">
        <f t="shared" si="4"/>
        <v>65</v>
      </c>
      <c r="L58" s="27" t="str">
        <f t="shared" si="5"/>
        <v>Under Budget</v>
      </c>
      <c r="M58" s="47" t="str">
        <f t="shared" si="6"/>
        <v>Nov</v>
      </c>
      <c r="N58" s="47">
        <f t="shared" si="7"/>
        <v>11</v>
      </c>
    </row>
    <row r="59" spans="2:14" ht="18" customHeight="1" x14ac:dyDescent="0.25">
      <c r="B59" s="48">
        <v>45980</v>
      </c>
      <c r="C59" s="49" t="s">
        <v>112</v>
      </c>
      <c r="D59" s="28" t="s">
        <v>56</v>
      </c>
      <c r="E59" s="28" t="s">
        <v>113</v>
      </c>
      <c r="F59" s="50" t="s">
        <v>114</v>
      </c>
      <c r="G59" s="51" t="s">
        <v>49</v>
      </c>
      <c r="H59" s="28" t="s">
        <v>18</v>
      </c>
      <c r="I59" s="29">
        <v>645</v>
      </c>
      <c r="J59" s="29">
        <v>725</v>
      </c>
      <c r="K59" s="30">
        <f t="shared" si="4"/>
        <v>80</v>
      </c>
      <c r="L59" s="32" t="str">
        <f t="shared" si="5"/>
        <v>Under Budget</v>
      </c>
      <c r="M59" s="52" t="str">
        <f t="shared" si="6"/>
        <v>Nov</v>
      </c>
      <c r="N59" s="52">
        <f t="shared" si="7"/>
        <v>11</v>
      </c>
    </row>
    <row r="60" spans="2:14" ht="18" customHeight="1" x14ac:dyDescent="0.25">
      <c r="B60" s="43">
        <v>45994</v>
      </c>
      <c r="C60" s="44" t="s">
        <v>115</v>
      </c>
      <c r="D60" s="23" t="s">
        <v>51</v>
      </c>
      <c r="E60" s="23" t="s">
        <v>47</v>
      </c>
      <c r="F60" s="45" t="s">
        <v>116</v>
      </c>
      <c r="G60" s="46" t="s">
        <v>49</v>
      </c>
      <c r="H60" s="23" t="s">
        <v>17</v>
      </c>
      <c r="I60" s="24">
        <v>695</v>
      </c>
      <c r="J60" s="24">
        <v>750</v>
      </c>
      <c r="K60" s="25">
        <f t="shared" si="4"/>
        <v>55</v>
      </c>
      <c r="L60" s="27" t="str">
        <f t="shared" si="5"/>
        <v>Under Budget</v>
      </c>
      <c r="M60" s="47" t="str">
        <f t="shared" si="6"/>
        <v>Dec</v>
      </c>
      <c r="N60" s="47">
        <f t="shared" si="7"/>
        <v>12</v>
      </c>
    </row>
    <row r="61" spans="2:14" ht="18" customHeight="1" x14ac:dyDescent="0.25">
      <c r="B61" s="48">
        <v>45994</v>
      </c>
      <c r="C61" s="49" t="s">
        <v>115</v>
      </c>
      <c r="D61" s="28" t="s">
        <v>51</v>
      </c>
      <c r="E61" s="28" t="s">
        <v>47</v>
      </c>
      <c r="F61" s="50" t="s">
        <v>116</v>
      </c>
      <c r="G61" s="51" t="s">
        <v>49</v>
      </c>
      <c r="H61" s="28" t="s">
        <v>18</v>
      </c>
      <c r="I61" s="29">
        <v>1250</v>
      </c>
      <c r="J61" s="29">
        <v>1350</v>
      </c>
      <c r="K61" s="30">
        <f t="shared" si="4"/>
        <v>100</v>
      </c>
      <c r="L61" s="32" t="str">
        <f t="shared" si="5"/>
        <v>Under Budget</v>
      </c>
      <c r="M61" s="52" t="str">
        <f t="shared" si="6"/>
        <v>Dec</v>
      </c>
      <c r="N61" s="52">
        <f t="shared" si="7"/>
        <v>12</v>
      </c>
    </row>
    <row r="64" spans="2:14" ht="18" customHeight="1" x14ac:dyDescent="0.25">
      <c r="B64" s="3" t="s">
        <v>31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2:13" ht="15.75" customHeight="1" x14ac:dyDescent="0.25">
      <c r="B65" s="2" t="s">
        <v>117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</sheetData>
  <mergeCells count="3">
    <mergeCell ref="B1:M1"/>
    <mergeCell ref="B64:M64"/>
    <mergeCell ref="B65:M65"/>
  </mergeCells>
  <conditionalFormatting sqref="K4:K61">
    <cfRule type="dataBar" priority="4">
      <dataBar>
        <cfvo type="min"/>
        <cfvo type="max"/>
        <color rgb="FF2D5F3F"/>
      </dataBar>
      <extLst>
        <ext xmlns:x14="http://schemas.microsoft.com/office/spreadsheetml/2009/9/main" uri="{B025F937-C7B1-47D3-B67F-A62EFF666E3E}">
          <x14:id>{225C285A-6BCD-4ED5-B84E-936ABD27E4B3}</x14:id>
        </ext>
      </extLst>
    </cfRule>
  </conditionalFormatting>
  <conditionalFormatting sqref="L4:L61">
    <cfRule type="expression" dxfId="1" priority="2">
      <formula>EXACT(L4,"Over Budget")</formula>
    </cfRule>
    <cfRule type="expression" dxfId="0" priority="3">
      <formula>EXACT(L4,"Under Budget")</formula>
    </cfRule>
  </conditionalFormatting>
  <printOptions horizontalCentered="1"/>
  <pageMargins left="0.4" right="0.4" top="0.5" bottom="0.5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C285A-6BCD-4ED5-B84E-936ABD27E4B3}">
            <x14:dataBar minLength="0" maxLength="100" axisPosition="none">
              <x14:cfvo type="min"/>
              <x14:cfvo type="max"/>
              <x14:negativeFillColor rgb="FF2D5F3F"/>
            </x14:dataBar>
          </x14:cfRule>
          <xm:sqref>K4:K61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21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4" customWidth="1"/>
    <col min="3" max="4" width="15" customWidth="1"/>
    <col min="5" max="5" width="13" customWidth="1"/>
    <col min="6" max="7" width="15" customWidth="1"/>
    <col min="8" max="8" width="14" customWidth="1"/>
    <col min="9" max="9" width="16" customWidth="1"/>
    <col min="10" max="10" width="2" customWidth="1"/>
  </cols>
  <sheetData>
    <row r="1" spans="2:9" ht="31.5" customHeight="1" x14ac:dyDescent="0.25">
      <c r="B1" s="1" t="s">
        <v>118</v>
      </c>
      <c r="C1" s="1"/>
      <c r="D1" s="1"/>
      <c r="E1" s="1"/>
      <c r="F1" s="1"/>
      <c r="G1" s="1"/>
      <c r="H1" s="1"/>
    </row>
    <row r="2" spans="2:9" ht="21.75" customHeight="1" x14ac:dyDescent="0.25">
      <c r="B2" s="57" t="s">
        <v>119</v>
      </c>
      <c r="C2" s="57"/>
      <c r="D2" s="57"/>
      <c r="E2" s="57"/>
      <c r="F2" s="57"/>
      <c r="G2" s="57"/>
      <c r="H2" s="57"/>
    </row>
    <row r="3" spans="2:9" ht="12" customHeight="1" x14ac:dyDescent="0.25"/>
    <row r="4" spans="2:9" ht="27.75" customHeight="1" x14ac:dyDescent="0.25">
      <c r="B4" s="42" t="s">
        <v>43</v>
      </c>
      <c r="C4" s="42" t="s">
        <v>120</v>
      </c>
      <c r="D4" s="42" t="s">
        <v>121</v>
      </c>
      <c r="E4" s="42" t="s">
        <v>42</v>
      </c>
      <c r="F4" s="42" t="s">
        <v>122</v>
      </c>
      <c r="G4" s="42" t="s">
        <v>13</v>
      </c>
      <c r="H4" s="42" t="s">
        <v>123</v>
      </c>
      <c r="I4" s="42" t="s">
        <v>124</v>
      </c>
    </row>
    <row r="5" spans="2:9" ht="21.75" customHeight="1" x14ac:dyDescent="0.25">
      <c r="B5" s="23" t="s">
        <v>125</v>
      </c>
      <c r="C5" s="24">
        <f>Dashboard!$C$18/12</f>
        <v>15416.666666666666</v>
      </c>
      <c r="D5" s="25">
        <f>SUMIFS('Trip Log'!I:I,'Trip Log'!N:N,1)</f>
        <v>3561</v>
      </c>
      <c r="E5" s="25">
        <f t="shared" ref="E5:E17" si="0">C5-D5</f>
        <v>11855.666666666666</v>
      </c>
      <c r="F5" s="24">
        <f>C5</f>
        <v>15416.666666666666</v>
      </c>
      <c r="G5" s="25">
        <f>D5</f>
        <v>3561</v>
      </c>
      <c r="H5" s="25">
        <f t="shared" ref="H5:H17" si="1">F5-G5</f>
        <v>11855.666666666666</v>
      </c>
      <c r="I5" s="25">
        <f>IF(D5&gt;0,G5/1*12,"")</f>
        <v>42732</v>
      </c>
    </row>
    <row r="6" spans="2:9" ht="21.75" customHeight="1" x14ac:dyDescent="0.25">
      <c r="B6" s="28" t="s">
        <v>126</v>
      </c>
      <c r="C6" s="29">
        <f>Dashboard!$C$18/12</f>
        <v>15416.666666666666</v>
      </c>
      <c r="D6" s="30">
        <f>SUMIFS('Trip Log'!I:I,'Trip Log'!N:N,2)</f>
        <v>4270</v>
      </c>
      <c r="E6" s="30">
        <f t="shared" si="0"/>
        <v>11146.666666666666</v>
      </c>
      <c r="F6" s="29">
        <f t="shared" ref="F6:F16" si="2">F5+C6</f>
        <v>30833.333333333332</v>
      </c>
      <c r="G6" s="30">
        <f t="shared" ref="G6:G16" si="3">G5+D6</f>
        <v>7831</v>
      </c>
      <c r="H6" s="30">
        <f t="shared" si="1"/>
        <v>23002.333333333332</v>
      </c>
      <c r="I6" s="30">
        <f>IF(D6&gt;0,G6/2*12,"")</f>
        <v>46986</v>
      </c>
    </row>
    <row r="7" spans="2:9" ht="21.75" customHeight="1" x14ac:dyDescent="0.25">
      <c r="B7" s="23" t="s">
        <v>127</v>
      </c>
      <c r="C7" s="24">
        <f>Dashboard!$C$18/12</f>
        <v>15416.666666666666</v>
      </c>
      <c r="D7" s="25">
        <f>SUMIFS('Trip Log'!I:I,'Trip Log'!N:N,3)</f>
        <v>3746</v>
      </c>
      <c r="E7" s="25">
        <f t="shared" si="0"/>
        <v>11670.666666666666</v>
      </c>
      <c r="F7" s="24">
        <f t="shared" si="2"/>
        <v>46250</v>
      </c>
      <c r="G7" s="25">
        <f t="shared" si="3"/>
        <v>11577</v>
      </c>
      <c r="H7" s="25">
        <f t="shared" si="1"/>
        <v>34673</v>
      </c>
      <c r="I7" s="25">
        <f>IF(D7&gt;0,G7/3*12,"")</f>
        <v>46308</v>
      </c>
    </row>
    <row r="8" spans="2:9" ht="21.75" customHeight="1" x14ac:dyDescent="0.25">
      <c r="B8" s="28" t="s">
        <v>128</v>
      </c>
      <c r="C8" s="29">
        <f>Dashboard!$C$18/12</f>
        <v>15416.666666666666</v>
      </c>
      <c r="D8" s="30">
        <f>SUMIFS('Trip Log'!I:I,'Trip Log'!N:N,4)</f>
        <v>3125</v>
      </c>
      <c r="E8" s="30">
        <f t="shared" si="0"/>
        <v>12291.666666666666</v>
      </c>
      <c r="F8" s="29">
        <f t="shared" si="2"/>
        <v>61666.666666666664</v>
      </c>
      <c r="G8" s="30">
        <f t="shared" si="3"/>
        <v>14702</v>
      </c>
      <c r="H8" s="30">
        <f t="shared" si="1"/>
        <v>46964.666666666664</v>
      </c>
      <c r="I8" s="30">
        <f>IF(D8&gt;0,G8/4*12,"")</f>
        <v>44106</v>
      </c>
    </row>
    <row r="9" spans="2:9" ht="21.75" customHeight="1" x14ac:dyDescent="0.25">
      <c r="B9" s="23" t="s">
        <v>129</v>
      </c>
      <c r="C9" s="24">
        <f>Dashboard!$C$18/12</f>
        <v>15416.666666666666</v>
      </c>
      <c r="D9" s="25">
        <f>SUMIFS('Trip Log'!I:I,'Trip Log'!N:N,5)</f>
        <v>3915</v>
      </c>
      <c r="E9" s="25">
        <f t="shared" si="0"/>
        <v>11501.666666666666</v>
      </c>
      <c r="F9" s="24">
        <f t="shared" si="2"/>
        <v>77083.333333333328</v>
      </c>
      <c r="G9" s="25">
        <f t="shared" si="3"/>
        <v>18617</v>
      </c>
      <c r="H9" s="25">
        <f t="shared" si="1"/>
        <v>58466.333333333328</v>
      </c>
      <c r="I9" s="25">
        <f>IF(D9&gt;0,G9/5*12,"")</f>
        <v>44680.800000000003</v>
      </c>
    </row>
    <row r="10" spans="2:9" ht="21.75" customHeight="1" x14ac:dyDescent="0.25">
      <c r="B10" s="28" t="s">
        <v>130</v>
      </c>
      <c r="C10" s="29">
        <f>Dashboard!$C$18/12</f>
        <v>15416.666666666666</v>
      </c>
      <c r="D10" s="30">
        <f>SUMIFS('Trip Log'!I:I,'Trip Log'!N:N,6)</f>
        <v>4888</v>
      </c>
      <c r="E10" s="30">
        <f t="shared" si="0"/>
        <v>10528.666666666666</v>
      </c>
      <c r="F10" s="29">
        <f t="shared" si="2"/>
        <v>92500</v>
      </c>
      <c r="G10" s="30">
        <f t="shared" si="3"/>
        <v>23505</v>
      </c>
      <c r="H10" s="30">
        <f t="shared" si="1"/>
        <v>68995</v>
      </c>
      <c r="I10" s="30">
        <f>IF(D10&gt;0,G10/6*12,"")</f>
        <v>47010</v>
      </c>
    </row>
    <row r="11" spans="2:9" ht="21.75" customHeight="1" x14ac:dyDescent="0.25">
      <c r="B11" s="23" t="s">
        <v>131</v>
      </c>
      <c r="C11" s="24">
        <f>Dashboard!$C$18/12</f>
        <v>15416.666666666666</v>
      </c>
      <c r="D11" s="25">
        <f>SUMIFS('Trip Log'!I:I,'Trip Log'!N:N,7)</f>
        <v>2992</v>
      </c>
      <c r="E11" s="25">
        <f t="shared" si="0"/>
        <v>12424.666666666666</v>
      </c>
      <c r="F11" s="24">
        <f t="shared" si="2"/>
        <v>107916.66666666667</v>
      </c>
      <c r="G11" s="25">
        <f t="shared" si="3"/>
        <v>26497</v>
      </c>
      <c r="H11" s="25">
        <f t="shared" si="1"/>
        <v>81419.666666666672</v>
      </c>
      <c r="I11" s="25">
        <f>IF(D11&gt;0,G11/7*12,"")</f>
        <v>45423.428571428572</v>
      </c>
    </row>
    <row r="12" spans="2:9" ht="21.75" customHeight="1" x14ac:dyDescent="0.25">
      <c r="B12" s="28" t="s">
        <v>132</v>
      </c>
      <c r="C12" s="29">
        <f>Dashboard!$C$18/12</f>
        <v>15416.666666666666</v>
      </c>
      <c r="D12" s="30">
        <f>SUMIFS('Trip Log'!I:I,'Trip Log'!N:N,8)</f>
        <v>3145</v>
      </c>
      <c r="E12" s="30">
        <f t="shared" si="0"/>
        <v>12271.666666666666</v>
      </c>
      <c r="F12" s="29">
        <f t="shared" si="2"/>
        <v>123333.33333333334</v>
      </c>
      <c r="G12" s="30">
        <f t="shared" si="3"/>
        <v>29642</v>
      </c>
      <c r="H12" s="30">
        <f t="shared" si="1"/>
        <v>93691.333333333343</v>
      </c>
      <c r="I12" s="30">
        <f>IF(D12&gt;0,G12/8*12,"")</f>
        <v>44463</v>
      </c>
    </row>
    <row r="13" spans="2:9" ht="21.75" customHeight="1" x14ac:dyDescent="0.25">
      <c r="B13" s="23" t="s">
        <v>133</v>
      </c>
      <c r="C13" s="24">
        <f>Dashboard!$C$18/12</f>
        <v>15416.666666666666</v>
      </c>
      <c r="D13" s="25">
        <f>SUMIFS('Trip Log'!I:I,'Trip Log'!N:N,9)</f>
        <v>2995</v>
      </c>
      <c r="E13" s="25">
        <f t="shared" si="0"/>
        <v>12421.666666666666</v>
      </c>
      <c r="F13" s="24">
        <f t="shared" si="2"/>
        <v>138750</v>
      </c>
      <c r="G13" s="25">
        <f t="shared" si="3"/>
        <v>32637</v>
      </c>
      <c r="H13" s="25">
        <f t="shared" si="1"/>
        <v>106113</v>
      </c>
      <c r="I13" s="25">
        <f>IF(D13&gt;0,G13/9*12,"")</f>
        <v>43516</v>
      </c>
    </row>
    <row r="14" spans="2:9" ht="21.75" customHeight="1" x14ac:dyDescent="0.25">
      <c r="B14" s="28" t="s">
        <v>134</v>
      </c>
      <c r="C14" s="29">
        <f>Dashboard!$C$18/12</f>
        <v>15416.666666666666</v>
      </c>
      <c r="D14" s="30">
        <f>SUMIFS('Trip Log'!I:I,'Trip Log'!N:N,10)</f>
        <v>3495</v>
      </c>
      <c r="E14" s="30">
        <f t="shared" si="0"/>
        <v>11921.666666666666</v>
      </c>
      <c r="F14" s="29">
        <f t="shared" si="2"/>
        <v>154166.66666666666</v>
      </c>
      <c r="G14" s="30">
        <f t="shared" si="3"/>
        <v>36132</v>
      </c>
      <c r="H14" s="30">
        <f t="shared" si="1"/>
        <v>118034.66666666666</v>
      </c>
      <c r="I14" s="30">
        <f>IF(D14&gt;0,G14/10*12,"")</f>
        <v>43358.399999999994</v>
      </c>
    </row>
    <row r="15" spans="2:9" ht="21.75" customHeight="1" x14ac:dyDescent="0.25">
      <c r="B15" s="23" t="s">
        <v>135</v>
      </c>
      <c r="C15" s="24">
        <f>Dashboard!$C$18/12</f>
        <v>15416.666666666666</v>
      </c>
      <c r="D15" s="25">
        <f>SUMIFS('Trip Log'!I:I,'Trip Log'!N:N,11)</f>
        <v>2375</v>
      </c>
      <c r="E15" s="25">
        <f t="shared" si="0"/>
        <v>13041.666666666666</v>
      </c>
      <c r="F15" s="24">
        <f t="shared" si="2"/>
        <v>169583.33333333331</v>
      </c>
      <c r="G15" s="25">
        <f t="shared" si="3"/>
        <v>38507</v>
      </c>
      <c r="H15" s="25">
        <f t="shared" si="1"/>
        <v>131076.33333333331</v>
      </c>
      <c r="I15" s="25">
        <f>IF(D15&gt;0,G15/11*12,"")</f>
        <v>42007.63636363636</v>
      </c>
    </row>
    <row r="16" spans="2:9" ht="21.75" customHeight="1" x14ac:dyDescent="0.25">
      <c r="B16" s="28" t="s">
        <v>136</v>
      </c>
      <c r="C16" s="29">
        <f>Dashboard!$C$18/12</f>
        <v>15416.666666666666</v>
      </c>
      <c r="D16" s="30">
        <f>SUMIFS('Trip Log'!I:I,'Trip Log'!N:N,12)</f>
        <v>1945</v>
      </c>
      <c r="E16" s="30">
        <f t="shared" si="0"/>
        <v>13471.666666666666</v>
      </c>
      <c r="F16" s="29">
        <f t="shared" si="2"/>
        <v>184999.99999999997</v>
      </c>
      <c r="G16" s="30">
        <f t="shared" si="3"/>
        <v>40452</v>
      </c>
      <c r="H16" s="30">
        <f t="shared" si="1"/>
        <v>144547.99999999997</v>
      </c>
      <c r="I16" s="30">
        <f>IF(D16&gt;0,G16/12*12,"")</f>
        <v>40452</v>
      </c>
    </row>
    <row r="17" spans="2:9" ht="27.75" customHeight="1" x14ac:dyDescent="0.25">
      <c r="B17" s="33" t="s">
        <v>137</v>
      </c>
      <c r="C17" s="34">
        <f>SUM(C5:C16)</f>
        <v>184999.99999999997</v>
      </c>
      <c r="D17" s="34">
        <f>SUM(D5:D16)</f>
        <v>40452</v>
      </c>
      <c r="E17" s="34">
        <f t="shared" si="0"/>
        <v>144547.99999999997</v>
      </c>
      <c r="F17" s="34">
        <f>F16</f>
        <v>184999.99999999997</v>
      </c>
      <c r="G17" s="34">
        <f>G16</f>
        <v>40452</v>
      </c>
      <c r="H17" s="34">
        <f t="shared" si="1"/>
        <v>144547.99999999997</v>
      </c>
      <c r="I17" s="53"/>
    </row>
    <row r="20" spans="2:9" ht="18" customHeight="1" x14ac:dyDescent="0.25">
      <c r="B20" s="3" t="s">
        <v>31</v>
      </c>
      <c r="C20" s="3"/>
      <c r="D20" s="3"/>
      <c r="E20" s="3"/>
      <c r="F20" s="3"/>
      <c r="G20" s="3"/>
      <c r="H20" s="3"/>
      <c r="I20" s="3"/>
    </row>
    <row r="21" spans="2:9" ht="15.75" customHeight="1" x14ac:dyDescent="0.25">
      <c r="B21" s="2" t="s">
        <v>117</v>
      </c>
      <c r="C21" s="2"/>
      <c r="D21" s="2"/>
      <c r="E21" s="2"/>
      <c r="F21" s="2"/>
      <c r="G21" s="2"/>
      <c r="H21" s="2"/>
      <c r="I21" s="2"/>
    </row>
  </sheetData>
  <mergeCells count="4">
    <mergeCell ref="B1:H1"/>
    <mergeCell ref="B2:H2"/>
    <mergeCell ref="B20:I20"/>
    <mergeCell ref="B21:I21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zoomScaleNormal="100" workbookViewId="0"/>
  </sheetViews>
  <sheetFormatPr defaultColWidth="8.7109375" defaultRowHeight="15" x14ac:dyDescent="0.25"/>
  <cols>
    <col min="1" max="3" width="16" customWidth="1"/>
    <col min="4" max="4" width="3" customWidth="1"/>
    <col min="5" max="5" width="22" customWidth="1"/>
    <col min="6" max="6" width="16" customWidth="1"/>
    <col min="7" max="7" width="3" customWidth="1"/>
    <col min="8" max="8" width="12" customWidth="1"/>
    <col min="9" max="9" width="16" customWidth="1"/>
  </cols>
  <sheetData>
    <row r="1" spans="1:9" x14ac:dyDescent="0.25">
      <c r="A1" s="21" t="s">
        <v>11</v>
      </c>
      <c r="B1" s="22" t="s">
        <v>12</v>
      </c>
      <c r="C1" s="22" t="s">
        <v>13</v>
      </c>
      <c r="E1" s="21" t="s">
        <v>36</v>
      </c>
      <c r="F1" s="22" t="s">
        <v>138</v>
      </c>
      <c r="H1" s="22" t="s">
        <v>35</v>
      </c>
      <c r="I1" s="22" t="s">
        <v>139</v>
      </c>
    </row>
    <row r="2" spans="1:9" x14ac:dyDescent="0.25">
      <c r="A2" s="54" t="s">
        <v>17</v>
      </c>
      <c r="B2" s="55">
        <f>Dashboard!C12</f>
        <v>72000</v>
      </c>
      <c r="C2" s="55">
        <f>Dashboard!D12</f>
        <v>11572</v>
      </c>
      <c r="E2" s="54" t="s">
        <v>69</v>
      </c>
      <c r="F2" s="55">
        <f>SUMIF('Trip Log'!D:D,E2,'Trip Log'!I:I)</f>
        <v>2300</v>
      </c>
      <c r="H2" s="56" t="s">
        <v>45</v>
      </c>
      <c r="I2" s="55">
        <f>SUMIF('Trip Log'!C:C,H2,'Trip Log'!I:I)</f>
        <v>2344</v>
      </c>
    </row>
    <row r="3" spans="1:9" x14ac:dyDescent="0.25">
      <c r="A3" s="54" t="s">
        <v>18</v>
      </c>
      <c r="B3" s="55">
        <f>Dashboard!C13</f>
        <v>48000</v>
      </c>
      <c r="C3" s="55">
        <f>Dashboard!D13</f>
        <v>22785</v>
      </c>
      <c r="E3" s="54" t="s">
        <v>60</v>
      </c>
      <c r="F3" s="55">
        <f>SUMIF('Trip Log'!D:D,E3,'Trip Log'!I:I)</f>
        <v>9245</v>
      </c>
      <c r="H3" s="56" t="s">
        <v>50</v>
      </c>
      <c r="I3" s="55">
        <f>SUMIF('Trip Log'!C:C,H3,'Trip Log'!I:I)</f>
        <v>1217</v>
      </c>
    </row>
    <row r="4" spans="1:9" x14ac:dyDescent="0.25">
      <c r="A4" s="54" t="s">
        <v>19</v>
      </c>
      <c r="B4" s="55">
        <f>Dashboard!C14</f>
        <v>28000</v>
      </c>
      <c r="C4" s="55">
        <f>Dashboard!D14</f>
        <v>1335</v>
      </c>
      <c r="E4" s="54" t="s">
        <v>46</v>
      </c>
      <c r="F4" s="55">
        <f>SUMIF('Trip Log'!D:D,E4,'Trip Log'!I:I)</f>
        <v>10719</v>
      </c>
      <c r="H4" s="56" t="s">
        <v>55</v>
      </c>
      <c r="I4" s="55">
        <f>SUMIF('Trip Log'!C:C,H4,'Trip Log'!I:I)</f>
        <v>1965</v>
      </c>
    </row>
    <row r="5" spans="1:9" x14ac:dyDescent="0.25">
      <c r="A5" s="54" t="s">
        <v>20</v>
      </c>
      <c r="B5" s="55">
        <f>Dashboard!C15</f>
        <v>18000</v>
      </c>
      <c r="C5" s="55">
        <f>Dashboard!D15</f>
        <v>965</v>
      </c>
      <c r="E5" s="54" t="s">
        <v>51</v>
      </c>
      <c r="F5" s="55">
        <f>SUMIF('Trip Log'!D:D,E5,'Trip Log'!I:I)</f>
        <v>10993</v>
      </c>
      <c r="H5" s="56" t="s">
        <v>59</v>
      </c>
      <c r="I5" s="55">
        <f>SUMIF('Trip Log'!C:C,H5,'Trip Log'!I:I)</f>
        <v>2305</v>
      </c>
    </row>
    <row r="6" spans="1:9" x14ac:dyDescent="0.25">
      <c r="A6" s="54" t="s">
        <v>21</v>
      </c>
      <c r="B6" s="55">
        <f>Dashboard!C16</f>
        <v>12000</v>
      </c>
      <c r="C6" s="55">
        <f>Dashboard!D16</f>
        <v>3795</v>
      </c>
      <c r="E6" s="54" t="s">
        <v>56</v>
      </c>
      <c r="F6" s="55">
        <f>SUMIF('Trip Log'!D:D,E6,'Trip Log'!I:I)</f>
        <v>7195</v>
      </c>
      <c r="H6" s="56" t="s">
        <v>62</v>
      </c>
      <c r="I6" s="55">
        <f>SUMIF('Trip Log'!C:C,H6,'Trip Log'!I:I)</f>
        <v>1681</v>
      </c>
    </row>
    <row r="7" spans="1:9" x14ac:dyDescent="0.25">
      <c r="A7" s="54" t="s">
        <v>22</v>
      </c>
      <c r="B7" s="55">
        <f>Dashboard!C17</f>
        <v>7000</v>
      </c>
      <c r="C7" s="55">
        <f>Dashboard!D17</f>
        <v>0</v>
      </c>
      <c r="H7" s="56" t="s">
        <v>65</v>
      </c>
      <c r="I7" s="55">
        <f>SUMIF('Trip Log'!C:C,H7,'Trip Log'!I:I)</f>
        <v>2065</v>
      </c>
    </row>
    <row r="8" spans="1:9" x14ac:dyDescent="0.25">
      <c r="H8" s="56" t="s">
        <v>68</v>
      </c>
      <c r="I8" s="55">
        <f>SUMIF('Trip Log'!C:C,H8,'Trip Log'!I:I)</f>
        <v>2300</v>
      </c>
    </row>
    <row r="9" spans="1:9" x14ac:dyDescent="0.25">
      <c r="H9" s="56" t="s">
        <v>72</v>
      </c>
      <c r="I9" s="55">
        <f>SUMIF('Trip Log'!C:C,H9,'Trip Log'!I:I)</f>
        <v>825</v>
      </c>
    </row>
    <row r="10" spans="1:9" x14ac:dyDescent="0.25">
      <c r="H10" s="56" t="s">
        <v>75</v>
      </c>
      <c r="I10" s="55">
        <f>SUMIF('Trip Log'!C:C,H10,'Trip Log'!I:I)</f>
        <v>1590</v>
      </c>
    </row>
    <row r="11" spans="1:9" x14ac:dyDescent="0.25">
      <c r="H11" s="56" t="s">
        <v>78</v>
      </c>
      <c r="I11" s="55">
        <f>SUMIF('Trip Log'!C:C,H11,'Trip Log'!I:I)</f>
        <v>2325</v>
      </c>
    </row>
    <row r="12" spans="1:9" x14ac:dyDescent="0.25">
      <c r="H12" s="56" t="s">
        <v>81</v>
      </c>
      <c r="I12" s="55">
        <f>SUMIF('Trip Log'!C:C,H12,'Trip Log'!I:I)</f>
        <v>3940</v>
      </c>
    </row>
    <row r="13" spans="1:9" x14ac:dyDescent="0.25">
      <c r="H13" s="56" t="s">
        <v>84</v>
      </c>
      <c r="I13" s="55">
        <f>SUMIF('Trip Log'!C:C,H13,'Trip Log'!I:I)</f>
        <v>948</v>
      </c>
    </row>
    <row r="14" spans="1:9" x14ac:dyDescent="0.25">
      <c r="H14" s="56" t="s">
        <v>87</v>
      </c>
      <c r="I14" s="55">
        <f>SUMIF('Trip Log'!C:C,H14,'Trip Log'!I:I)</f>
        <v>1960</v>
      </c>
    </row>
    <row r="15" spans="1:9" x14ac:dyDescent="0.25">
      <c r="H15" s="56" t="s">
        <v>90</v>
      </c>
      <c r="I15" s="55">
        <f>SUMIF('Trip Log'!C:C,H15,'Trip Log'!I:I)</f>
        <v>1032</v>
      </c>
    </row>
    <row r="16" spans="1:9" x14ac:dyDescent="0.25">
      <c r="H16" s="56" t="s">
        <v>93</v>
      </c>
      <c r="I16" s="55">
        <f>SUMIF('Trip Log'!C:C,H16,'Trip Log'!I:I)</f>
        <v>2120</v>
      </c>
    </row>
    <row r="17" spans="8:9" x14ac:dyDescent="0.25">
      <c r="H17" s="56" t="s">
        <v>95</v>
      </c>
      <c r="I17" s="55">
        <f>SUMIF('Trip Log'!C:C,H17,'Trip Log'!I:I)</f>
        <v>1025</v>
      </c>
    </row>
    <row r="18" spans="8:9" x14ac:dyDescent="0.25">
      <c r="H18" s="56" t="s">
        <v>98</v>
      </c>
      <c r="I18" s="55">
        <f>SUMIF('Trip Log'!C:C,H18,'Trip Log'!I:I)</f>
        <v>1580</v>
      </c>
    </row>
    <row r="19" spans="8:9" x14ac:dyDescent="0.25">
      <c r="H19" s="56" t="s">
        <v>101</v>
      </c>
      <c r="I19" s="55">
        <f>SUMIF('Trip Log'!C:C,H19,'Trip Log'!I:I)</f>
        <v>1415</v>
      </c>
    </row>
    <row r="20" spans="8:9" x14ac:dyDescent="0.25">
      <c r="H20" s="56" t="s">
        <v>104</v>
      </c>
      <c r="I20" s="55">
        <f>SUMIF('Trip Log'!C:C,H20,'Trip Log'!I:I)</f>
        <v>2495</v>
      </c>
    </row>
    <row r="21" spans="8:9" x14ac:dyDescent="0.25">
      <c r="H21" s="56" t="s">
        <v>106</v>
      </c>
      <c r="I21" s="55">
        <f>SUMIF('Trip Log'!C:C,H21,'Trip Log'!I:I)</f>
        <v>1000</v>
      </c>
    </row>
    <row r="22" spans="8:9" x14ac:dyDescent="0.25">
      <c r="H22" s="56" t="s">
        <v>109</v>
      </c>
      <c r="I22" s="55">
        <f>SUMIF('Trip Log'!C:C,H22,'Trip Log'!I:I)</f>
        <v>1345</v>
      </c>
    </row>
    <row r="23" spans="8:9" x14ac:dyDescent="0.25">
      <c r="H23" s="56" t="s">
        <v>112</v>
      </c>
      <c r="I23" s="55">
        <f>SUMIF('Trip Log'!C:C,H23,'Trip Log'!I:I)</f>
        <v>1030</v>
      </c>
    </row>
    <row r="24" spans="8:9" x14ac:dyDescent="0.25">
      <c r="H24" s="56" t="s">
        <v>115</v>
      </c>
      <c r="I24" s="55">
        <f>SUMIF('Trip Log'!C:C,H24,'Trip Log'!I:I)</f>
        <v>1945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86"/>
  <sheetViews>
    <sheetView showGridLines="0" tabSelected="1" zoomScaleNormal="100" workbookViewId="0">
      <selection activeCell="T17" sqref="T17"/>
    </sheetView>
  </sheetViews>
  <sheetFormatPr defaultColWidth="8.7109375" defaultRowHeight="15" x14ac:dyDescent="0.25"/>
  <cols>
    <col min="1" max="19" width="10" customWidth="1"/>
  </cols>
  <sheetData>
    <row r="1" spans="2:16" ht="12" customHeight="1" x14ac:dyDescent="0.25"/>
    <row r="2" spans="2:16" ht="36" customHeight="1" x14ac:dyDescent="0.25">
      <c r="B2" s="58" t="s">
        <v>140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2:16" ht="21.75" customHeight="1" x14ac:dyDescent="0.25">
      <c r="B3" s="57" t="s">
        <v>141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5" spans="2:16" ht="30" customHeight="1" x14ac:dyDescent="0.25">
      <c r="B5" s="59" t="s">
        <v>142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</row>
    <row r="27" spans="2:16" ht="30" customHeight="1" x14ac:dyDescent="0.25">
      <c r="B27" s="59" t="s">
        <v>143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49" spans="2:16" ht="30" customHeight="1" x14ac:dyDescent="0.25">
      <c r="B49" s="59" t="s">
        <v>144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</row>
    <row r="77" spans="2:16" ht="30" customHeight="1" x14ac:dyDescent="0.25">
      <c r="B77" s="59" t="s">
        <v>145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</row>
    <row r="78" spans="2:16" ht="7.5" customHeight="1" x14ac:dyDescent="0.25"/>
    <row r="79" spans="2:16" ht="21.75" customHeight="1" x14ac:dyDescent="0.25">
      <c r="B79" s="60" t="s">
        <v>146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</row>
    <row r="80" spans="2:16" ht="21.75" customHeight="1" x14ac:dyDescent="0.25">
      <c r="B80" s="61" t="s">
        <v>147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</row>
    <row r="81" spans="2:16" ht="21.75" customHeight="1" x14ac:dyDescent="0.25">
      <c r="B81" s="60" t="s">
        <v>148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</row>
    <row r="82" spans="2:16" ht="21.75" customHeight="1" x14ac:dyDescent="0.25">
      <c r="B82" s="61" t="s">
        <v>149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</row>
    <row r="85" spans="2:16" ht="18" customHeight="1" x14ac:dyDescent="0.25">
      <c r="B85" s="3" t="s">
        <v>31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2:16" ht="15.75" customHeight="1" x14ac:dyDescent="0.25">
      <c r="B86" s="2" t="s">
        <v>117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</sheetData>
  <mergeCells count="12">
    <mergeCell ref="B85:P85"/>
    <mergeCell ref="B86:P86"/>
    <mergeCell ref="B77:P77"/>
    <mergeCell ref="B79:P79"/>
    <mergeCell ref="B80:P80"/>
    <mergeCell ref="B81:P81"/>
    <mergeCell ref="B82:P82"/>
    <mergeCell ref="B2:P2"/>
    <mergeCell ref="B3:P3"/>
    <mergeCell ref="B5:P5"/>
    <mergeCell ref="B27:P27"/>
    <mergeCell ref="B49:P49"/>
  </mergeCells>
  <printOptions horizontalCentered="1"/>
  <pageMargins left="0.4" right="0.4" top="0.5" bottom="0.5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Trip Log</vt:lpstr>
      <vt:lpstr>Monthly Forecast</vt:lpstr>
      <vt:lpstr>_ChartData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McCoy</cp:lastModifiedBy>
  <cp:revision>1</cp:revision>
  <dcterms:created xsi:type="dcterms:W3CDTF">2026-04-18T19:40:07Z</dcterms:created>
  <dcterms:modified xsi:type="dcterms:W3CDTF">2026-04-18T19:49:26Z</dcterms:modified>
  <dc:language>en-US</dc:language>
</cp:coreProperties>
</file>