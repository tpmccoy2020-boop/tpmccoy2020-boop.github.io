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udget Overview" sheetId="1" state="visible" r:id="rId1"/>
    <sheet xmlns:r="http://schemas.openxmlformats.org/officeDocument/2006/relationships" name="Trip Log" sheetId="2" state="visible" r:id="rId2"/>
    <sheet xmlns:r="http://schemas.openxmlformats.org/officeDocument/2006/relationships" name="Monthly Forecast" sheetId="3" state="visible" r:id="rId3"/>
    <sheet xmlns:r="http://schemas.openxmlformats.org/officeDocument/2006/relationships" name="_ChartData" sheetId="4" state="hidden" r:id="rId4"/>
    <sheet xmlns:r="http://schemas.openxmlformats.org/officeDocument/2006/relationships" name="Chart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\$#,##0;&quot;($&quot;#,##0\);\-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E3A5F"/>
      <sz val="20"/>
    </font>
    <font>
      <name val="Calibri"/>
      <charset val="1"/>
      <family val="0"/>
      <i val="1"/>
      <color rgb="FF6B7280"/>
      <sz val="11"/>
    </font>
    <font>
      <name val="Calibri"/>
      <charset val="1"/>
      <family val="0"/>
      <b val="1"/>
      <color rgb="FF1E3A5F"/>
      <sz val="13"/>
    </font>
    <font>
      <name val="Calibri"/>
      <charset val="1"/>
      <family val="0"/>
      <color rgb="FF111827"/>
      <sz val="10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b val="1"/>
      <color rgb="FF111827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E3A5F"/>
      <sz val="22"/>
    </font>
    <font>
      <name val="Calibri"/>
      <charset val="1"/>
      <family val="0"/>
      <i val="1"/>
      <color rgb="FF6B7280"/>
      <sz val="10"/>
    </font>
    <font>
      <name val="Calibri"/>
      <charset val="1"/>
      <family val="0"/>
      <b val="1"/>
      <color rgb="FF1E3A5F"/>
      <sz val="12"/>
    </font>
    <font>
      <name val="Calibri"/>
      <charset val="1"/>
      <family val="0"/>
      <color rgb="FF374151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C8A55D"/>
        <bgColor rgb="FFF79646"/>
      </patternFill>
    </fill>
    <fill>
      <patternFill patternType="solid">
        <fgColor rgb="FFFEF3C7"/>
        <bgColor rgb="FFF5F5F7"/>
      </patternFill>
    </fill>
    <fill>
      <patternFill patternType="solid">
        <fgColor rgb="FF1E3A5F"/>
        <bgColor rgb="FF374151"/>
      </patternFill>
    </fill>
    <fill>
      <patternFill patternType="solid">
        <fgColor rgb="FFF5F5F7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right" vertical="bottom"/>
    </xf>
    <xf numFmtId="1" fontId="8" fillId="3" borderId="1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5" fontId="8" fillId="3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bottom"/>
    </xf>
    <xf numFmtId="164" fontId="7" fillId="5" borderId="1" applyAlignment="1" pivotButton="0" quotePrefix="0" xfId="0">
      <alignment horizontal="right" vertical="bottom"/>
    </xf>
    <xf numFmtId="166" fontId="7" fillId="5" borderId="1" applyAlignment="1" pivotButton="0" quotePrefix="0" xfId="0">
      <alignment horizontal="right" vertical="bottom"/>
    </xf>
    <xf numFmtId="165" fontId="7" fillId="5" borderId="1" applyAlignment="1" pivotButton="0" quotePrefix="0" xfId="0">
      <alignment horizontal="right" vertical="bottom"/>
    </xf>
    <xf numFmtId="0" fontId="7" fillId="5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5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left" vertical="bottom"/>
    </xf>
    <xf numFmtId="164" fontId="10" fillId="4" borderId="1" applyAlignment="1" pivotButton="0" quotePrefix="0" xfId="0">
      <alignment horizontal="right" vertical="bottom"/>
    </xf>
    <xf numFmtId="165" fontId="10" fillId="4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right" vertical="bottom"/>
    </xf>
    <xf numFmtId="0" fontId="7" fillId="5" borderId="1" applyAlignment="1" pivotButton="0" quotePrefix="0" xfId="0">
      <alignment horizontal="general" vertical="bottom"/>
    </xf>
    <xf numFmtId="1" fontId="9" fillId="5" borderId="1" applyAlignment="1" pivotButton="0" quotePrefix="0" xfId="0">
      <alignment horizontal="right" vertical="bottom"/>
    </xf>
    <xf numFmtId="1" fontId="9" fillId="0" borderId="1" applyAlignment="1" pivotButton="0" quotePrefix="0" xfId="0">
      <alignment horizontal="right" vertical="bottom"/>
    </xf>
    <xf numFmtId="164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horizontal="left" vertical="bottom"/>
    </xf>
    <xf numFmtId="0" fontId="7" fillId="5" borderId="1" applyAlignment="1" pivotButton="0" quotePrefix="0" xfId="0">
      <alignment horizontal="right" vertical="bottom"/>
    </xf>
    <xf numFmtId="0" fontId="9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right" vertical="bottom"/>
    </xf>
    <xf numFmtId="166" fontId="10" fillId="4" borderId="1" applyAlignment="1" pivotButton="0" quotePrefix="0" xfId="0">
      <alignment horizontal="right" vertical="bottom"/>
    </xf>
    <xf numFmtId="0" fontId="0" fillId="4" borderId="1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right" vertical="bottom"/>
    </xf>
    <xf numFmtId="1" fontId="8" fillId="3" borderId="1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5" fontId="8" fillId="3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bottom"/>
    </xf>
    <xf numFmtId="164" fontId="7" fillId="5" borderId="1" applyAlignment="1" pivotButton="0" quotePrefix="0" xfId="0">
      <alignment horizontal="right" vertical="bottom"/>
    </xf>
    <xf numFmtId="166" fontId="7" fillId="5" borderId="1" applyAlignment="1" pivotButton="0" quotePrefix="0" xfId="0">
      <alignment horizontal="right" vertical="bottom"/>
    </xf>
    <xf numFmtId="165" fontId="7" fillId="5" borderId="1" applyAlignment="1" pivotButton="0" quotePrefix="0" xfId="0">
      <alignment horizontal="right" vertical="bottom"/>
    </xf>
    <xf numFmtId="0" fontId="7" fillId="5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5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left" vertical="bottom"/>
    </xf>
    <xf numFmtId="164" fontId="10" fillId="4" borderId="1" applyAlignment="1" pivotButton="0" quotePrefix="0" xfId="0">
      <alignment horizontal="right" vertical="bottom"/>
    </xf>
    <xf numFmtId="165" fontId="10" fillId="4" borderId="1" applyAlignment="1" pivotButton="0" quotePrefix="0" xfId="0">
      <alignment horizontal="right" vertical="bottom"/>
    </xf>
    <xf numFmtId="0" fontId="10" fillId="4" borderId="1" applyAlignment="1" pivotButton="0" quotePrefix="0" xfId="0">
      <alignment horizontal="right" vertical="bottom"/>
    </xf>
    <xf numFmtId="0" fontId="7" fillId="5" borderId="1" applyAlignment="1" pivotButton="0" quotePrefix="0" xfId="0">
      <alignment horizontal="general" vertical="bottom"/>
    </xf>
    <xf numFmtId="1" fontId="9" fillId="5" borderId="1" applyAlignment="1" pivotButton="0" quotePrefix="0" xfId="0">
      <alignment horizontal="right" vertical="bottom"/>
    </xf>
    <xf numFmtId="1" fontId="9" fillId="0" borderId="1" applyAlignment="1" pivotButton="0" quotePrefix="0" xfId="0">
      <alignment horizontal="right" vertical="bottom"/>
    </xf>
    <xf numFmtId="164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horizontal="left" vertical="bottom"/>
    </xf>
    <xf numFmtId="0" fontId="9" fillId="0" borderId="1" applyAlignment="1" pivotButton="0" quotePrefix="0" xfId="0">
      <alignment horizontal="left" vertical="bottom"/>
    </xf>
    <xf numFmtId="166" fontId="10" fillId="4" borderId="1" applyAlignment="1" pivotButton="0" quotePrefix="0" xfId="0">
      <alignment horizontal="right" vertical="bottom"/>
    </xf>
    <xf numFmtId="0" fontId="0" fillId="4" borderId="1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Calibri"/>
        <charset val="1"/>
        <family val="0"/>
        <b val="1"/>
        <color rgb="FFDC2626"/>
        <sz val="10"/>
      </font>
    </dxf>
    <dxf>
      <font>
        <name val="Calibri"/>
        <charset val="1"/>
        <family val="0"/>
        <b val="1"/>
        <color rgb="FFB45309"/>
        <sz val="10"/>
      </font>
    </dxf>
    <dxf>
      <font>
        <name val="Calibri"/>
        <charset val="1"/>
        <family val="0"/>
        <b val="1"/>
        <color rgb="FF059669"/>
        <sz val="10"/>
      </font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B3B3B3"/>
      <rgbColor rgb="FF8064A2"/>
      <rgbColor rgb="FF93A9CE"/>
      <rgbColor rgb="FFC0504D"/>
      <rgbColor rgb="FFFEF3C7"/>
      <rgbColor rgb="FFF5F5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672A8"/>
      <rgbColor rgb="FF4BACC6"/>
      <rgbColor rgb="FF9BBB59"/>
      <rgbColor rgb="FFFFCC00"/>
      <rgbColor rgb="FFF79646"/>
      <rgbColor rgb="FFFF6600"/>
      <rgbColor rgb="FF6B7280"/>
      <rgbColor rgb="FFC8A55D"/>
      <rgbColor rgb="FF1E3A5F"/>
      <rgbColor rgb="FF4F81BD"/>
      <rgbColor rgb="FF111827"/>
      <rgbColor rgb="FF333300"/>
      <rgbColor rgb="FFB45309"/>
      <rgbColor rgb="FF993366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Budget vs. Actual by Category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'Budget Overview'!C15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'Budget Overview'!$B$16:$B$21</f>
              <strCache>
                <ptCount val="6"/>
                <pt idx="0">
                  <v>Airfare</v>
                </pt>
                <pt idx="1">
                  <v>Lodging</v>
                </pt>
                <pt idx="2">
                  <v>Per Diem / Meals</v>
                </pt>
                <pt idx="3">
                  <v>Ground Transportation</v>
                </pt>
                <pt idx="4">
                  <v>Conference Registration</v>
                </pt>
                <pt idx="5">
                  <v>Miscellaneous / Incidentals</v>
                </pt>
              </strCache>
            </strRef>
          </cat>
          <val>
            <numRef>
              <f>'Budget Overview'!$C$16:$C$21</f>
              <numCache>
                <formatCode>\$#,##0</formatCode>
                <ptCount val="6"/>
                <pt idx="0">
                  <v>72000</v>
                </pt>
                <pt idx="1">
                  <v>48000</v>
                </pt>
                <pt idx="2">
                  <v>28000</v>
                </pt>
                <pt idx="3">
                  <v>18000</v>
                </pt>
                <pt idx="4">
                  <v>12000</v>
                </pt>
                <pt idx="5">
                  <v>7000</v>
                </pt>
              </numCache>
            </numRef>
          </val>
        </ser>
        <ser>
          <idx val="1"/>
          <order val="1"/>
          <tx>
            <strRef>
              <f>'Budget Overview'!D15</f>
              <strCache>
                <ptCount val="1"/>
                <pt idx="0">
                  <v>YTD Actual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'Budget Overview'!$B$16:$B$21</f>
              <strCache>
                <ptCount val="6"/>
                <pt idx="0">
                  <v>Airfare</v>
                </pt>
                <pt idx="1">
                  <v>Lodging</v>
                </pt>
                <pt idx="2">
                  <v>Per Diem / Meals</v>
                </pt>
                <pt idx="3">
                  <v>Ground Transportation</v>
                </pt>
                <pt idx="4">
                  <v>Conference Registration</v>
                </pt>
                <pt idx="5">
                  <v>Miscellaneous / Incidentals</v>
                </pt>
              </strCache>
            </strRef>
          </cat>
          <val>
            <numRef>
              <f>'Budget Overview'!$D$16:$D$21</f>
              <numCache>
                <formatCode>\$#,##0</formatCode>
                <ptCount val="6"/>
                <pt idx="0">
                  <v>11572</v>
                </pt>
                <pt idx="1">
                  <v>22785</v>
                </pt>
                <pt idx="2">
                  <v>1335</v>
                </pt>
                <pt idx="3">
                  <v>965</v>
                </pt>
                <pt idx="4">
                  <v>3795</v>
                </pt>
                <pt idx="5">
                  <v>0</v>
                </pt>
              </numCache>
            </numRef>
          </val>
        </ser>
        <gapWidth val="150"/>
        <overlap val="0"/>
        <axId val="2352937"/>
        <axId val="99593459"/>
      </barChart>
      <catAx>
        <axId val="235293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9593459"/>
        <crosses val="autoZero"/>
        <auto val="1"/>
        <lblAlgn val="ctr"/>
        <lblOffset val="100"/>
        <noMultiLvlLbl val="0"/>
      </catAx>
      <valAx>
        <axId val="9959345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35293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YTD Actual Spend Mix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doughnutChart>
        <varyColors val="1"/>
        <ser>
          <idx val="0"/>
          <order val="0"/>
          <tx>
            <strRef>
              <f>'Budget Overview'!D15</f>
              <strCache>
                <ptCount val="1"/>
                <pt idx="0">
                  <v>YTD Actual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dLbl>
              <idx val="1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dLbl>
              <idx val="2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dLbl>
              <idx val="3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dLbl>
              <idx val="4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dLbl>
              <idx val="5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showLegendKey val="1"/>
              <showVal val="1"/>
              <showCatName val="1"/>
              <showSerName val="1"/>
              <showPercent val="1"/>
            </dLbl>
            <numFmt formatCode="\$#,##0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'Budget Overview'!$B$16:$B$21</f>
              <strCache>
                <ptCount val="6"/>
                <pt idx="0">
                  <v>Airfare</v>
                </pt>
                <pt idx="1">
                  <v>Lodging</v>
                </pt>
                <pt idx="2">
                  <v>Per Diem / Meals</v>
                </pt>
                <pt idx="3">
                  <v>Ground Transportation</v>
                </pt>
                <pt idx="4">
                  <v>Conference Registration</v>
                </pt>
                <pt idx="5">
                  <v>Miscellaneous / Incidentals</v>
                </pt>
              </strCache>
            </strRef>
          </cat>
          <val>
            <numRef>
              <f>'Budget Overview'!$D$16:$D$21</f>
              <numCache>
                <formatCode>\$#,##0</formatCode>
                <ptCount val="6"/>
                <pt idx="0">
                  <v>11572</v>
                </pt>
                <pt idx="1">
                  <v>22785</v>
                </pt>
                <pt idx="2">
                  <v>1335</v>
                </pt>
                <pt idx="3">
                  <v>965</v>
                </pt>
                <pt idx="4">
                  <v>3795</v>
                </pt>
                <pt idx="5">
                  <v>0</v>
                </pt>
              </numCache>
            </numRef>
          </val>
        </ser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Budget vs. Actual Spend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'Monthly Forecast'!C5</f>
              <strCache>
                <ptCount val="1"/>
                <pt idx="0">
                  <v>Monthly Budget</v>
                </pt>
              </strCache>
            </strRef>
          </tx>
          <spPr>
            <a:ln xmlns:a="http://schemas.openxmlformats.org/drawingml/2006/main" w="28575">
              <a:solidFill>
                <a:srgbClr val="1E3A5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1E3A5F"/>
              </a:solidFill>
              <a:ln xmlns:a="http://schemas.openxmlformats.org/drawingml/2006/main">
                <a:solidFill>
                  <a:srgbClr val="1E3A5F"/>
                </a:solidFill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Forecast'!$B$6:$B$17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'Monthly Forecast'!$C$6:$C$17</f>
              <numCache>
                <formatCode>\$#,##0</formatCode>
                <ptCount val="12"/>
                <pt idx="0">
                  <v>15416.6666666667</v>
                </pt>
                <pt idx="1">
                  <v>15416.6666666667</v>
                </pt>
                <pt idx="2">
                  <v>15416.6666666667</v>
                </pt>
                <pt idx="3">
                  <v>15416.6666666667</v>
                </pt>
                <pt idx="4">
                  <v>15416.6666666667</v>
                </pt>
                <pt idx="5">
                  <v>15416.6666666667</v>
                </pt>
                <pt idx="6">
                  <v>15416.6666666667</v>
                </pt>
                <pt idx="7">
                  <v>15416.6666666667</v>
                </pt>
                <pt idx="8">
                  <v>15416.6666666667</v>
                </pt>
                <pt idx="9">
                  <v>15416.6666666667</v>
                </pt>
                <pt idx="10">
                  <v>15416.6666666667</v>
                </pt>
                <pt idx="11">
                  <v>15416.6666666667</v>
                </pt>
              </numCache>
            </numRef>
          </val>
          <smooth val="1"/>
        </ser>
        <ser>
          <idx val="1"/>
          <order val="1"/>
          <tx>
            <strRef>
              <f>'Monthly Forecast'!D5</f>
              <strCache>
                <ptCount val="1"/>
                <pt idx="0">
                  <v>Actual</v>
                </pt>
              </strCache>
            </strRef>
          </tx>
          <spPr>
            <a:ln xmlns:a="http://schemas.openxmlformats.org/drawingml/2006/main" w="28575">
              <a:solidFill>
                <a:srgbClr val="C8A55D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C8A55D"/>
              </a:solidFill>
              <a:ln xmlns:a="http://schemas.openxmlformats.org/drawingml/2006/main">
                <a:solidFill>
                  <a:srgbClr val="C8A55D"/>
                </a:solidFill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Forecast'!$B$6:$B$17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'Monthly Forecast'!$D$6:$D$17</f>
              <numCache>
                <formatCode>\$#,##0</formatCode>
                <ptCount val="12"/>
                <pt idx="0">
                  <v>3561</v>
                </pt>
                <pt idx="1">
                  <v>4270</v>
                </pt>
                <pt idx="2">
                  <v>3746</v>
                </pt>
                <pt idx="3">
                  <v>3125</v>
                </pt>
                <pt idx="4">
                  <v>3915</v>
                </pt>
                <pt idx="5">
                  <v>4888</v>
                </pt>
                <pt idx="6">
                  <v>2992</v>
                </pt>
                <pt idx="7">
                  <v>3145</v>
                </pt>
                <pt idx="8">
                  <v>2995</v>
                </pt>
                <pt idx="9">
                  <v>3495</v>
                </pt>
                <pt idx="10">
                  <v>2375</v>
                </pt>
                <pt idx="11">
                  <v>1945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9741406"/>
        <axId val="23109159"/>
      </lineChart>
      <catAx>
        <axId val="297414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3109159"/>
        <crosses val="autoZero"/>
        <auto val="1"/>
        <lblAlgn val="ctr"/>
        <lblOffset val="100"/>
        <noMultiLvlLbl val="0"/>
      </catAx>
      <valAx>
        <axId val="2310915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97414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YTD Cumulative: Budget vs. Actual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'Monthly Forecast'!F5</f>
              <strCache>
                <ptCount val="1"/>
                <pt idx="0">
                  <v>YTD Budget</v>
                </pt>
              </strCache>
            </strRef>
          </tx>
          <spPr>
            <a:ln xmlns:a="http://schemas.openxmlformats.org/drawingml/2006/main" w="28575">
              <a:solidFill>
                <a:srgbClr val="1E3A5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1E3A5F"/>
              </a:solidFill>
              <a:ln xmlns:a="http://schemas.openxmlformats.org/drawingml/2006/main">
                <a:solidFill>
                  <a:srgbClr val="1E3A5F"/>
                </a:solidFill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Forecast'!$B$6:$B$17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'Monthly Forecast'!$F$6:$F$17</f>
              <numCache>
                <formatCode>\$#,##0</formatCode>
                <ptCount val="12"/>
                <pt idx="0">
                  <v>15416.6666666667</v>
                </pt>
                <pt idx="1">
                  <v>30833.3333333334</v>
                </pt>
                <pt idx="2">
                  <v>46250.0000000001</v>
                </pt>
                <pt idx="3">
                  <v>61666.6666666668</v>
                </pt>
                <pt idx="4">
                  <v>77083.3333333335</v>
                </pt>
                <pt idx="5">
                  <v>92500.0000000002</v>
                </pt>
                <pt idx="6">
                  <v>107916.666666667</v>
                </pt>
                <pt idx="7">
                  <v>123333.333333334</v>
                </pt>
                <pt idx="8">
                  <v>138750</v>
                </pt>
                <pt idx="9">
                  <v>154166.666666667</v>
                </pt>
                <pt idx="10">
                  <v>169583.333333334</v>
                </pt>
                <pt idx="11">
                  <v>185000</v>
                </pt>
              </numCache>
            </numRef>
          </val>
          <smooth val="1"/>
        </ser>
        <ser>
          <idx val="1"/>
          <order val="1"/>
          <tx>
            <strRef>
              <f>'Monthly Forecast'!G5</f>
              <strCache>
                <ptCount val="1"/>
                <pt idx="0">
                  <v>YTD Actual</v>
                </pt>
              </strCache>
            </strRef>
          </tx>
          <spPr>
            <a:ln xmlns:a="http://schemas.openxmlformats.org/drawingml/2006/main" w="28575">
              <a:solidFill>
                <a:srgbClr val="C8A55D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C8A55D"/>
              </a:solidFill>
              <a:ln xmlns:a="http://schemas.openxmlformats.org/drawingml/2006/main">
                <a:solidFill>
                  <a:srgbClr val="C8A55D"/>
                </a:solidFill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'Monthly Forecast'!$B$6:$B$17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'Monthly Forecast'!$G$6:$G$17</f>
              <numCache>
                <formatCode>\$#,##0</formatCode>
                <ptCount val="12"/>
                <pt idx="0">
                  <v>3561</v>
                </pt>
                <pt idx="1">
                  <v>7831</v>
                </pt>
                <pt idx="2">
                  <v>11577</v>
                </pt>
                <pt idx="3">
                  <v>14702</v>
                </pt>
                <pt idx="4">
                  <v>18617</v>
                </pt>
                <pt idx="5">
                  <v>23505</v>
                </pt>
                <pt idx="6">
                  <v>26497</v>
                </pt>
                <pt idx="7">
                  <v>29642</v>
                </pt>
                <pt idx="8">
                  <v>32637</v>
                </pt>
                <pt idx="9">
                  <v>36132</v>
                </pt>
                <pt idx="10">
                  <v>38507</v>
                </pt>
                <pt idx="11">
                  <v>40452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18409603"/>
        <axId val="95161257"/>
      </lineChart>
      <catAx>
        <axId val="184096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5161257"/>
        <crosses val="autoZero"/>
        <auto val="1"/>
        <lblAlgn val="ctr"/>
        <lblOffset val="100"/>
        <noMultiLvlLbl val="0"/>
      </catAx>
      <valAx>
        <axId val="95161257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84096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Trip Cost Ranking (All FY2025 Trips)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_ChartData!B1</f>
              <strCache>
                <ptCount val="1"/>
                <pt idx="0">
                  <v>Total Cost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numFmt formatCode="\$#,##0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1"/>
            <showVal val="1"/>
            <showCatName val="1"/>
            <showSerName val="1"/>
            <showPercent val="0"/>
            <showLeaderLines val="1"/>
          </dLbls>
          <cat>
            <strRef>
              <f>_ChartData!$A$2:$A$24</f>
              <strCache>
                <ptCount val="23"/>
                <pt idx="0">
                  <v>T-2501</v>
                </pt>
                <pt idx="1">
                  <v>T-2502</v>
                </pt>
                <pt idx="2">
                  <v>T-2503</v>
                </pt>
                <pt idx="3">
                  <v>T-2504</v>
                </pt>
                <pt idx="4">
                  <v>T-2505</v>
                </pt>
                <pt idx="5">
                  <v>T-2506</v>
                </pt>
                <pt idx="6">
                  <v>T-2507</v>
                </pt>
                <pt idx="7">
                  <v>T-2508</v>
                </pt>
                <pt idx="8">
                  <v>T-2509</v>
                </pt>
                <pt idx="9">
                  <v>T-2510</v>
                </pt>
                <pt idx="10">
                  <v>T-2511</v>
                </pt>
                <pt idx="11">
                  <v>T-2512</v>
                </pt>
                <pt idx="12">
                  <v>T-2513</v>
                </pt>
                <pt idx="13">
                  <v>T-2514</v>
                </pt>
                <pt idx="14">
                  <v>T-2515</v>
                </pt>
                <pt idx="15">
                  <v>T-2516</v>
                </pt>
                <pt idx="16">
                  <v>T-2517</v>
                </pt>
                <pt idx="17">
                  <v>T-2518</v>
                </pt>
                <pt idx="18">
                  <v>T-2519</v>
                </pt>
                <pt idx="19">
                  <v>T-2520</v>
                </pt>
                <pt idx="20">
                  <v>T-2521</v>
                </pt>
                <pt idx="21">
                  <v>T-2522</v>
                </pt>
                <pt idx="22">
                  <v>T-2523</v>
                </pt>
              </strCache>
            </strRef>
          </cat>
          <val>
            <numRef>
              <f>_ChartData!$B$2:$B$24</f>
              <numCache>
                <formatCode>\$#,##0</formatCode>
                <ptCount val="23"/>
                <pt idx="0">
                  <v>2344</v>
                </pt>
                <pt idx="1">
                  <v>1217</v>
                </pt>
                <pt idx="2">
                  <v>1965</v>
                </pt>
                <pt idx="3">
                  <v>2305</v>
                </pt>
                <pt idx="4">
                  <v>1681</v>
                </pt>
                <pt idx="5">
                  <v>2065</v>
                </pt>
                <pt idx="6">
                  <v>2300</v>
                </pt>
                <pt idx="7">
                  <v>825</v>
                </pt>
                <pt idx="8">
                  <v>1590</v>
                </pt>
                <pt idx="9">
                  <v>2325</v>
                </pt>
                <pt idx="10">
                  <v>3940</v>
                </pt>
                <pt idx="11">
                  <v>948</v>
                </pt>
                <pt idx="12">
                  <v>1960</v>
                </pt>
                <pt idx="13">
                  <v>1032</v>
                </pt>
                <pt idx="14">
                  <v>2120</v>
                </pt>
                <pt idx="15">
                  <v>1025</v>
                </pt>
                <pt idx="16">
                  <v>1580</v>
                </pt>
                <pt idx="17">
                  <v>1415</v>
                </pt>
                <pt idx="18">
                  <v>2495</v>
                </pt>
                <pt idx="19">
                  <v>1000</v>
                </pt>
                <pt idx="20">
                  <v>1345</v>
                </pt>
                <pt idx="21">
                  <v>1030</v>
                </pt>
                <pt idx="22">
                  <v>1945</v>
                </pt>
              </numCache>
            </numRef>
          </val>
        </ser>
        <gapWidth val="150"/>
        <overlap val="0"/>
        <axId val="73775378"/>
        <axId val="17306295"/>
      </barChart>
      <catAx>
        <axId val="73775378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Total Cost ($)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7306295"/>
        <crosses val="autoZero"/>
        <auto val="1"/>
        <lblAlgn val="ctr"/>
        <lblOffset val="100"/>
        <noMultiLvlLbl val="0"/>
      </catAx>
      <valAx>
        <axId val="17306295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\$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77537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Spend Distribution by Traveler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_ChartData!E1</f>
              <strCache>
                <ptCount val="1"/>
                <pt idx="0">
                  <v>Total Spend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numFmt formatCode="\$#,##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numFmt formatCode="\$#,##0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_ChartData!$D$2:$D$6</f>
              <strCache>
                <ptCount val="5"/>
                <pt idx="0">
                  <v>Chief of Staff</v>
                </pt>
                <pt idx="1">
                  <v>Communications Director</v>
                </pt>
                <pt idx="2">
                  <v>Deputy Chief of Staff</v>
                </pt>
                <pt idx="3">
                  <v>Governor</v>
                </pt>
                <pt idx="4">
                  <v>Policy Advisor</v>
                </pt>
              </strCache>
            </strRef>
          </cat>
          <val>
            <numRef>
              <f>_ChartData!$E$2:$E$6</f>
              <numCache>
                <formatCode>\$#,##0</formatCode>
                <ptCount val="5"/>
                <pt idx="0">
                  <v>9245</v>
                </pt>
                <pt idx="1">
                  <v>7195</v>
                </pt>
                <pt idx="2">
                  <v>10719</v>
                </pt>
                <pt idx="3">
                  <v>2300</v>
                </pt>
                <pt idx="4">
                  <v>10993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7</row>
      <rowOff>0</rowOff>
    </from>
    <to>
      <col>8</col>
      <colOff>691920</colOff>
      <row>27</row>
      <rowOff>149400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7</row>
      <rowOff>0</rowOff>
    </from>
    <to>
      <col>16</col>
      <colOff>691920</colOff>
      <row>27</row>
      <rowOff>149400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33</row>
      <rowOff>0</rowOff>
    </from>
    <to>
      <col>8</col>
      <colOff>691920</colOff>
      <row>53</row>
      <rowOff>149040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33</row>
      <rowOff>0</rowOff>
    </from>
    <to>
      <col>16</col>
      <colOff>691920</colOff>
      <row>53</row>
      <rowOff>149040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0</colOff>
      <row>59</row>
      <rowOff>0</rowOff>
    </from>
    <to>
      <col>8</col>
      <colOff>691920</colOff>
      <row>83</row>
      <rowOff>107280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9</col>
      <colOff>0</colOff>
      <row>59</row>
      <rowOff>0</rowOff>
    </from>
    <to>
      <col>16</col>
      <colOff>691920</colOff>
      <row>83</row>
      <rowOff>107280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G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42" min="1" max="1"/>
    <col width="28" customWidth="1" style="42" min="2" max="2"/>
    <col width="16" customWidth="1" style="42" min="3" max="6"/>
    <col width="14" customWidth="1" style="42" min="7" max="7"/>
  </cols>
  <sheetData>
    <row r="2" ht="36" customHeight="1" s="43">
      <c r="B2" s="44" t="inlineStr">
        <is>
          <t>GOVERNOR'S OFFICE TRAVEL BUDGET</t>
        </is>
      </c>
    </row>
    <row r="3" ht="15" customHeight="1" s="43">
      <c r="B3" s="45" t="inlineStr">
        <is>
          <t>FY2025 Budget vs. Actual Tracking  •  12-Month Forecast Model</t>
        </is>
      </c>
    </row>
    <row r="4" ht="3" customHeight="1" s="43">
      <c r="B4" s="46" t="n"/>
      <c r="C4" s="46" t="n"/>
      <c r="D4" s="46" t="n"/>
      <c r="E4" s="46" t="n"/>
      <c r="F4" s="46" t="n"/>
      <c r="G4" s="46" t="n"/>
    </row>
    <row r="6" ht="21.75" customHeight="1" s="43">
      <c r="B6" s="47" t="inlineStr">
        <is>
          <t>KEY ASSUMPTIONS</t>
        </is>
      </c>
    </row>
    <row r="7" ht="15" customHeight="1" s="43">
      <c r="B7" s="48" t="inlineStr">
        <is>
          <t>Annual Travel Budget Authority</t>
        </is>
      </c>
      <c r="C7" s="49" t="n">
        <v>185000</v>
      </c>
    </row>
    <row r="8" ht="15" customHeight="1" s="43">
      <c r="B8" s="48" t="inlineStr">
        <is>
          <t>Number of Trips Planned (FY)</t>
        </is>
      </c>
      <c r="C8" s="50" t="n">
        <v>48</v>
      </c>
    </row>
    <row r="9" ht="15" customHeight="1" s="43">
      <c r="B9" s="48" t="inlineStr">
        <is>
          <t>Avg. Per-Trip Budget Cap</t>
        </is>
      </c>
      <c r="C9" s="51">
        <f>C7/C8</f>
        <v/>
      </c>
    </row>
    <row r="10" ht="15" customHeight="1" s="43">
      <c r="B10" s="48" t="inlineStr">
        <is>
          <t>Airfare Inflation Factor (YoY)</t>
        </is>
      </c>
      <c r="C10" s="52" t="n">
        <v>0.06</v>
      </c>
    </row>
    <row r="11" ht="15" customHeight="1" s="43">
      <c r="B11" s="48" t="inlineStr">
        <is>
          <t>Lodging Inflation Factor (YoY)</t>
        </is>
      </c>
      <c r="C11" s="52" t="n">
        <v>0.045</v>
      </c>
    </row>
    <row r="12" ht="15" customHeight="1" s="43">
      <c r="B12" s="48" t="inlineStr">
        <is>
          <t>Per Diem Rate (GSA — CONUS avg)</t>
        </is>
      </c>
      <c r="C12" s="49" t="n">
        <v>178</v>
      </c>
    </row>
    <row r="14" ht="21.75" customHeight="1" s="43">
      <c r="B14" s="47" t="inlineStr">
        <is>
          <t>BUDGET ALLOCATION BY CATEGORY</t>
        </is>
      </c>
    </row>
    <row r="15" ht="27.75" customHeight="1" s="43">
      <c r="B15" s="53" t="inlineStr">
        <is>
          <t>Category</t>
        </is>
      </c>
      <c r="C15" s="53" t="inlineStr">
        <is>
          <t>Budget</t>
        </is>
      </c>
      <c r="D15" s="53" t="inlineStr">
        <is>
          <t>YTD Actual</t>
        </is>
      </c>
      <c r="E15" s="53" t="inlineStr">
        <is>
          <t>Remaining</t>
        </is>
      </c>
      <c r="F15" s="53" t="inlineStr">
        <is>
          <t>Utilization %</t>
        </is>
      </c>
      <c r="G15" s="53" t="inlineStr">
        <is>
          <t>Status</t>
        </is>
      </c>
    </row>
    <row r="16" ht="15" customHeight="1" s="43">
      <c r="B16" s="54" t="inlineStr">
        <is>
          <t>Airfare</t>
        </is>
      </c>
      <c r="C16" s="55" t="n">
        <v>72000</v>
      </c>
      <c r="D16" s="55">
        <f>SUMIFS('Trip Log'!I:I,'Trip Log'!H:H,B16)</f>
        <v/>
      </c>
      <c r="E16" s="56">
        <f>C16-D16</f>
        <v/>
      </c>
      <c r="F16" s="57">
        <f>IFERROR(D16/C16,0)</f>
        <v/>
      </c>
      <c r="G16" s="58">
        <f>IF(F16&gt;1,"OVER BUDGET",IF(F16&gt;0.9,"WATCH","ON TRACK"))</f>
        <v/>
      </c>
    </row>
    <row r="17" ht="15" customHeight="1" s="43">
      <c r="B17" s="59" t="inlineStr">
        <is>
          <t>Lodging</t>
        </is>
      </c>
      <c r="C17" s="60" t="n">
        <v>48000</v>
      </c>
      <c r="D17" s="60">
        <f>SUMIFS('Trip Log'!I:I,'Trip Log'!H:H,B17)</f>
        <v/>
      </c>
      <c r="E17" s="61">
        <f>C17-D17</f>
        <v/>
      </c>
      <c r="F17" s="62">
        <f>IFERROR(D17/C17,0)</f>
        <v/>
      </c>
      <c r="G17" s="63">
        <f>IF(F17&gt;1,"OVER BUDGET",IF(F17&gt;0.9,"WATCH","ON TRACK"))</f>
        <v/>
      </c>
    </row>
    <row r="18" ht="15" customHeight="1" s="43">
      <c r="B18" s="54" t="inlineStr">
        <is>
          <t>Per Diem / Meals</t>
        </is>
      </c>
      <c r="C18" s="55" t="n">
        <v>28000</v>
      </c>
      <c r="D18" s="55">
        <f>SUMIFS('Trip Log'!I:I,'Trip Log'!H:H,B18)</f>
        <v/>
      </c>
      <c r="E18" s="56">
        <f>C18-D18</f>
        <v/>
      </c>
      <c r="F18" s="57">
        <f>IFERROR(D18/C18,0)</f>
        <v/>
      </c>
      <c r="G18" s="58">
        <f>IF(F18&gt;1,"OVER BUDGET",IF(F18&gt;0.9,"WATCH","ON TRACK"))</f>
        <v/>
      </c>
    </row>
    <row r="19" ht="15" customHeight="1" s="43">
      <c r="B19" s="59" t="inlineStr">
        <is>
          <t>Ground Transportation</t>
        </is>
      </c>
      <c r="C19" s="60" t="n">
        <v>18000</v>
      </c>
      <c r="D19" s="60">
        <f>SUMIFS('Trip Log'!I:I,'Trip Log'!H:H,B19)</f>
        <v/>
      </c>
      <c r="E19" s="61">
        <f>C19-D19</f>
        <v/>
      </c>
      <c r="F19" s="62">
        <f>IFERROR(D19/C19,0)</f>
        <v/>
      </c>
      <c r="G19" s="63">
        <f>IF(F19&gt;1,"OVER BUDGET",IF(F19&gt;0.9,"WATCH","ON TRACK"))</f>
        <v/>
      </c>
    </row>
    <row r="20" ht="15" customHeight="1" s="43">
      <c r="B20" s="54" t="inlineStr">
        <is>
          <t>Conference Registration</t>
        </is>
      </c>
      <c r="C20" s="55" t="n">
        <v>12000</v>
      </c>
      <c r="D20" s="55">
        <f>SUMIFS('Trip Log'!I:I,'Trip Log'!H:H,B20)</f>
        <v/>
      </c>
      <c r="E20" s="56">
        <f>C20-D20</f>
        <v/>
      </c>
      <c r="F20" s="57">
        <f>IFERROR(D20/C20,0)</f>
        <v/>
      </c>
      <c r="G20" s="58">
        <f>IF(F20&gt;1,"OVER BUDGET",IF(F20&gt;0.9,"WATCH","ON TRACK"))</f>
        <v/>
      </c>
    </row>
    <row r="21" ht="15" customHeight="1" s="43">
      <c r="B21" s="59" t="inlineStr">
        <is>
          <t>Miscellaneous / Incidentals</t>
        </is>
      </c>
      <c r="C21" s="60" t="n">
        <v>7000</v>
      </c>
      <c r="D21" s="60">
        <f>SUMIFS('Trip Log'!I:I,'Trip Log'!H:H,B21)</f>
        <v/>
      </c>
      <c r="E21" s="61">
        <f>C21-D21</f>
        <v/>
      </c>
      <c r="F21" s="62">
        <f>IFERROR(D21/C21,0)</f>
        <v/>
      </c>
      <c r="G21" s="63">
        <f>IF(F21&gt;1,"OVER BUDGET",IF(F21&gt;0.9,"WATCH","ON TRACK"))</f>
        <v/>
      </c>
    </row>
    <row r="22" ht="15" customHeight="1" s="43">
      <c r="B22" s="64" t="inlineStr">
        <is>
          <t>TOTAL</t>
        </is>
      </c>
      <c r="C22" s="65">
        <f>SUM(C16:C21)</f>
        <v/>
      </c>
      <c r="D22" s="65">
        <f>SUM(D16:D21)</f>
        <v/>
      </c>
      <c r="E22" s="65">
        <f>SUM(E16:E21)</f>
        <v/>
      </c>
      <c r="F22" s="66">
        <f>IFERROR(D22/C22,0)</f>
        <v/>
      </c>
      <c r="G22" s="67">
        <f>IF(F22&gt;1,"OVER",IF(F22&gt;0.9,"WATCH","ON TRACK"))</f>
        <v/>
      </c>
    </row>
    <row r="25" ht="21.75" customHeight="1" s="43">
      <c r="B25" s="47" t="inlineStr">
        <is>
          <t>PERFORMANCE METRICS</t>
        </is>
      </c>
    </row>
    <row r="26" ht="15" customHeight="1" s="43">
      <c r="B26" s="68" t="inlineStr">
        <is>
          <t>Trips Completed (YTD — unique)</t>
        </is>
      </c>
      <c r="C26" s="69">
        <f>SUMPRODUCT(('Trip Log'!C6:C65&lt;&gt;"")/COUNTIF('Trip Log'!C6:C65,'Trip Log'!C6:C65&amp;""))</f>
        <v/>
      </c>
    </row>
    <row r="27" ht="15" customHeight="1" s="43">
      <c r="B27" s="48" t="inlineStr">
        <is>
          <t>Line Items Processed</t>
        </is>
      </c>
      <c r="C27" s="70">
        <f>COUNTA('Trip Log'!C6:C65)</f>
        <v/>
      </c>
    </row>
    <row r="28" ht="15" customHeight="1" s="43">
      <c r="B28" s="68" t="inlineStr">
        <is>
          <t>Avg. Cost per Line</t>
        </is>
      </c>
      <c r="C28" s="71">
        <f>IFERROR(D22/COUNTA('Trip Log'!C6:C65),0)</f>
        <v/>
      </c>
    </row>
    <row r="29" ht="15" customHeight="1" s="43">
      <c r="B29" s="48" t="inlineStr">
        <is>
          <t>Line Items Under Budget</t>
        </is>
      </c>
      <c r="C29" s="70">
        <f>COUNTIF('Trip Log'!L6:L65,"Under")</f>
        <v/>
      </c>
    </row>
    <row r="30" ht="15" customHeight="1" s="43">
      <c r="B30" s="68" t="inlineStr">
        <is>
          <t>% Items Under Budget</t>
        </is>
      </c>
      <c r="C30" s="72">
        <f>IFERROR(COUNTIF('Trip Log'!L6:L65,"Under")/COUNTA('Trip Log'!L6:L65),0)</f>
        <v/>
      </c>
    </row>
    <row r="31" ht="15" customHeight="1" s="43">
      <c r="B31" s="48" t="inlineStr">
        <is>
          <t>Total Savings vs Budget</t>
        </is>
      </c>
      <c r="C31" s="51">
        <f>E22</f>
        <v/>
      </c>
    </row>
  </sheetData>
  <mergeCells count="5">
    <mergeCell ref="B3:G3"/>
    <mergeCell ref="B2:G2"/>
    <mergeCell ref="B14:G14"/>
    <mergeCell ref="B25:G25"/>
    <mergeCell ref="B6:G6"/>
  </mergeCells>
  <conditionalFormatting sqref="G16:G21">
    <cfRule type="expression" rank="0" priority="2" equalAverage="0" aboveAverage="0" dxfId="0" text="" percent="0" bottom="0">
      <formula>$G16="OVER BUDGET"</formula>
    </cfRule>
    <cfRule type="expression" rank="0" priority="3" equalAverage="0" aboveAverage="0" dxfId="1" text="" percent="0" bottom="0">
      <formula>$G16="WATCH"</formula>
    </cfRule>
    <cfRule type="expression" rank="0" priority="4" equalAverage="0" aboveAverage="0" dxfId="2" text="" percent="0" bottom="0">
      <formula>$G16="ON TRACK"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42" min="1" max="1"/>
    <col width="12" customWidth="1" style="42" min="2" max="2"/>
    <col width="18" customWidth="1" style="42" min="3" max="3"/>
    <col width="22" customWidth="1" style="42" min="4" max="4"/>
    <col width="14" customWidth="1" style="42" min="5" max="5"/>
    <col width="18" customWidth="1" style="42" min="6" max="7"/>
    <col width="20" customWidth="1" style="42" min="8" max="8"/>
    <col width="14" customWidth="1" style="42" min="9" max="11"/>
    <col width="12" customWidth="1" style="42" min="12" max="12"/>
    <col width="8" customWidth="1" style="42" min="13" max="13"/>
  </cols>
  <sheetData>
    <row r="2" ht="30" customHeight="1" s="43">
      <c r="B2" s="44" t="inlineStr">
        <is>
          <t>TRIP-LEVEL EXPENSE LOG</t>
        </is>
      </c>
    </row>
    <row r="3" ht="15" customHeight="1" s="43">
      <c r="B3" s="45" t="inlineStr">
        <is>
          <t>Individual trip tracking — coordinates with Enterprise &amp; Adtrav booking data</t>
        </is>
      </c>
    </row>
    <row r="5" ht="27.75" customHeight="1" s="43">
      <c r="B5" s="53" t="inlineStr">
        <is>
          <t>Date</t>
        </is>
      </c>
      <c r="C5" s="53" t="inlineStr">
        <is>
          <t>Trip ID</t>
        </is>
      </c>
      <c r="D5" s="53" t="inlineStr">
        <is>
          <t>Traveler</t>
        </is>
      </c>
      <c r="E5" s="53" t="inlineStr">
        <is>
          <t>Destination</t>
        </is>
      </c>
      <c r="F5" s="53" t="inlineStr">
        <is>
          <t>Purpose</t>
        </is>
      </c>
      <c r="G5" s="53" t="inlineStr">
        <is>
          <t>Booked Thru</t>
        </is>
      </c>
      <c r="H5" s="53" t="inlineStr">
        <is>
          <t>Category</t>
        </is>
      </c>
      <c r="I5" s="53" t="inlineStr">
        <is>
          <t>Actual Cost</t>
        </is>
      </c>
      <c r="J5" s="53" t="inlineStr">
        <is>
          <t>Trip Budget</t>
        </is>
      </c>
      <c r="K5" s="53" t="inlineStr">
        <is>
          <t>Variance</t>
        </is>
      </c>
      <c r="L5" s="53" t="inlineStr">
        <is>
          <t>Status</t>
        </is>
      </c>
      <c r="M5" s="53" t="inlineStr">
        <is>
          <t>Month #</t>
        </is>
      </c>
    </row>
    <row r="6" ht="15" customHeight="1" s="43">
      <c r="B6" s="54" t="inlineStr">
        <is>
          <t>01/08/2025</t>
        </is>
      </c>
      <c r="C6" s="73" t="inlineStr">
        <is>
          <t>T-2501</t>
        </is>
      </c>
      <c r="D6" s="54" t="inlineStr">
        <is>
          <t>Deputy Chief of Staff</t>
        </is>
      </c>
      <c r="E6" s="54" t="inlineStr">
        <is>
          <t>Washington, DC</t>
        </is>
      </c>
      <c r="F6" s="54" t="inlineStr">
        <is>
          <t>NGA Winter Meeting</t>
        </is>
      </c>
      <c r="G6" s="54" t="inlineStr">
        <is>
          <t>Adtrav</t>
        </is>
      </c>
      <c r="H6" s="54" t="inlineStr">
        <is>
          <t>Airfare</t>
        </is>
      </c>
      <c r="I6" s="55" t="n">
        <v>685</v>
      </c>
      <c r="J6" s="55" t="n">
        <v>750</v>
      </c>
      <c r="K6" s="56">
        <f>J6-I6</f>
        <v/>
      </c>
      <c r="L6" s="58">
        <f>IF(K6&gt;=0,"Under","Over")</f>
        <v/>
      </c>
      <c r="M6" s="58">
        <f>VALUE(MID(B6,1,2))</f>
        <v/>
      </c>
    </row>
    <row r="7" ht="15" customHeight="1" s="43">
      <c r="B7" s="59" t="inlineStr">
        <is>
          <t>01/08/2025</t>
        </is>
      </c>
      <c r="C7" s="74" t="inlineStr">
        <is>
          <t>T-2501</t>
        </is>
      </c>
      <c r="D7" s="59" t="inlineStr">
        <is>
          <t>Deputy Chief of Staff</t>
        </is>
      </c>
      <c r="E7" s="59" t="inlineStr">
        <is>
          <t>Washington, DC</t>
        </is>
      </c>
      <c r="F7" s="59" t="inlineStr">
        <is>
          <t>NGA Winter Meeting</t>
        </is>
      </c>
      <c r="G7" s="59" t="inlineStr">
        <is>
          <t>Adtrav</t>
        </is>
      </c>
      <c r="H7" s="59" t="inlineStr">
        <is>
          <t>Lodging</t>
        </is>
      </c>
      <c r="I7" s="60" t="n">
        <v>1125</v>
      </c>
      <c r="J7" s="60" t="n">
        <v>1200</v>
      </c>
      <c r="K7" s="61">
        <f>J7-I7</f>
        <v/>
      </c>
      <c r="L7" s="63">
        <f>IF(K7&gt;=0,"Under","Over")</f>
        <v/>
      </c>
      <c r="M7" s="63">
        <f>VALUE(MID(B7,1,2))</f>
        <v/>
      </c>
    </row>
    <row r="8" ht="15" customHeight="1" s="43">
      <c r="B8" s="54" t="inlineStr">
        <is>
          <t>01/08/2025</t>
        </is>
      </c>
      <c r="C8" s="73" t="inlineStr">
        <is>
          <t>T-2501</t>
        </is>
      </c>
      <c r="D8" s="54" t="inlineStr">
        <is>
          <t>Deputy Chief of Staff</t>
        </is>
      </c>
      <c r="E8" s="54" t="inlineStr">
        <is>
          <t>Washington, DC</t>
        </is>
      </c>
      <c r="F8" s="54" t="inlineStr">
        <is>
          <t>NGA Winter Meeting</t>
        </is>
      </c>
      <c r="G8" s="54" t="inlineStr">
        <is>
          <t>Adtrav</t>
        </is>
      </c>
      <c r="H8" s="54" t="inlineStr">
        <is>
          <t>Per Diem / Meals</t>
        </is>
      </c>
      <c r="I8" s="55" t="n">
        <v>534</v>
      </c>
      <c r="J8" s="55" t="n">
        <v>600</v>
      </c>
      <c r="K8" s="56">
        <f>J8-I8</f>
        <v/>
      </c>
      <c r="L8" s="58">
        <f>IF(K8&gt;=0,"Under","Over")</f>
        <v/>
      </c>
      <c r="M8" s="58">
        <f>VALUE(MID(B8,1,2))</f>
        <v/>
      </c>
    </row>
    <row r="9" ht="15" customHeight="1" s="43">
      <c r="B9" s="59" t="inlineStr">
        <is>
          <t>01/22/2025</t>
        </is>
      </c>
      <c r="C9" s="74" t="inlineStr">
        <is>
          <t>T-2502</t>
        </is>
      </c>
      <c r="D9" s="59" t="inlineStr">
        <is>
          <t>Policy Advisor</t>
        </is>
      </c>
      <c r="E9" s="59" t="inlineStr">
        <is>
          <t>Austin, TX</t>
        </is>
      </c>
      <c r="F9" s="59" t="inlineStr">
        <is>
          <t>State Policy Summit</t>
        </is>
      </c>
      <c r="G9" s="59" t="inlineStr">
        <is>
          <t>Adtrav</t>
        </is>
      </c>
      <c r="H9" s="59" t="inlineStr">
        <is>
          <t>Airfare</t>
        </is>
      </c>
      <c r="I9" s="60" t="n">
        <v>412</v>
      </c>
      <c r="J9" s="60" t="n">
        <v>450</v>
      </c>
      <c r="K9" s="61">
        <f>J9-I9</f>
        <v/>
      </c>
      <c r="L9" s="63">
        <f>IF(K9&gt;=0,"Under","Over")</f>
        <v/>
      </c>
      <c r="M9" s="63">
        <f>VALUE(MID(B9,1,2))</f>
        <v/>
      </c>
    </row>
    <row r="10" ht="15" customHeight="1" s="43">
      <c r="B10" s="54" t="inlineStr">
        <is>
          <t>01/22/2025</t>
        </is>
      </c>
      <c r="C10" s="73" t="inlineStr">
        <is>
          <t>T-2502</t>
        </is>
      </c>
      <c r="D10" s="54" t="inlineStr">
        <is>
          <t>Policy Advisor</t>
        </is>
      </c>
      <c r="E10" s="54" t="inlineStr">
        <is>
          <t>Austin, TX</t>
        </is>
      </c>
      <c r="F10" s="54" t="inlineStr">
        <is>
          <t>State Policy Summit</t>
        </is>
      </c>
      <c r="G10" s="54" t="inlineStr">
        <is>
          <t>Enterprise</t>
        </is>
      </c>
      <c r="H10" s="54" t="inlineStr">
        <is>
          <t>Ground Transportation</t>
        </is>
      </c>
      <c r="I10" s="55" t="n">
        <v>185</v>
      </c>
      <c r="J10" s="55" t="n">
        <v>250</v>
      </c>
      <c r="K10" s="56">
        <f>J10-I10</f>
        <v/>
      </c>
      <c r="L10" s="58">
        <f>IF(K10&gt;=0,"Under","Over")</f>
        <v/>
      </c>
      <c r="M10" s="58">
        <f>VALUE(MID(B10,1,2))</f>
        <v/>
      </c>
    </row>
    <row r="11" ht="15" customHeight="1" s="43">
      <c r="B11" s="59" t="inlineStr">
        <is>
          <t>01/22/2025</t>
        </is>
      </c>
      <c r="C11" s="74" t="inlineStr">
        <is>
          <t>T-2502</t>
        </is>
      </c>
      <c r="D11" s="59" t="inlineStr">
        <is>
          <t>Policy Advisor</t>
        </is>
      </c>
      <c r="E11" s="59" t="inlineStr">
        <is>
          <t>Austin, TX</t>
        </is>
      </c>
      <c r="F11" s="59" t="inlineStr">
        <is>
          <t>State Policy Summit</t>
        </is>
      </c>
      <c r="G11" s="59" t="inlineStr">
        <is>
          <t>Adtrav</t>
        </is>
      </c>
      <c r="H11" s="59" t="inlineStr">
        <is>
          <t>Lodging</t>
        </is>
      </c>
      <c r="I11" s="60" t="n">
        <v>620</v>
      </c>
      <c r="J11" s="60" t="n">
        <v>700</v>
      </c>
      <c r="K11" s="61">
        <f>J11-I11</f>
        <v/>
      </c>
      <c r="L11" s="63">
        <f>IF(K11&gt;=0,"Under","Over")</f>
        <v/>
      </c>
      <c r="M11" s="63">
        <f>VALUE(MID(B11,1,2))</f>
        <v/>
      </c>
    </row>
    <row r="12" ht="15" customHeight="1" s="43">
      <c r="B12" s="54" t="inlineStr">
        <is>
          <t>02/05/2025</t>
        </is>
      </c>
      <c r="C12" s="73" t="inlineStr">
        <is>
          <t>T-2503</t>
        </is>
      </c>
      <c r="D12" s="54" t="inlineStr">
        <is>
          <t>Communications Director</t>
        </is>
      </c>
      <c r="E12" s="54" t="inlineStr">
        <is>
          <t>Denver, CO</t>
        </is>
      </c>
      <c r="F12" s="54" t="inlineStr">
        <is>
          <t>Western States Governors Summit</t>
        </is>
      </c>
      <c r="G12" s="54" t="inlineStr">
        <is>
          <t>Adtrav</t>
        </is>
      </c>
      <c r="H12" s="54" t="inlineStr">
        <is>
          <t>Airfare</t>
        </is>
      </c>
      <c r="I12" s="55" t="n">
        <v>395</v>
      </c>
      <c r="J12" s="55" t="n">
        <v>425</v>
      </c>
      <c r="K12" s="56">
        <f>J12-I12</f>
        <v/>
      </c>
      <c r="L12" s="58">
        <f>IF(K12&gt;=0,"Under","Over")</f>
        <v/>
      </c>
      <c r="M12" s="58">
        <f>VALUE(MID(B12,1,2))</f>
        <v/>
      </c>
    </row>
    <row r="13" ht="15" customHeight="1" s="43">
      <c r="B13" s="59" t="inlineStr">
        <is>
          <t>02/05/2025</t>
        </is>
      </c>
      <c r="C13" s="74" t="inlineStr">
        <is>
          <t>T-2503</t>
        </is>
      </c>
      <c r="D13" s="59" t="inlineStr">
        <is>
          <t>Communications Director</t>
        </is>
      </c>
      <c r="E13" s="59" t="inlineStr">
        <is>
          <t>Denver, CO</t>
        </is>
      </c>
      <c r="F13" s="59" t="inlineStr">
        <is>
          <t>Western States Governors Summit</t>
        </is>
      </c>
      <c r="G13" s="59" t="inlineStr">
        <is>
          <t>Adtrav</t>
        </is>
      </c>
      <c r="H13" s="59" t="inlineStr">
        <is>
          <t>Lodging</t>
        </is>
      </c>
      <c r="I13" s="60" t="n">
        <v>820</v>
      </c>
      <c r="J13" s="60" t="n">
        <v>900</v>
      </c>
      <c r="K13" s="61">
        <f>J13-I13</f>
        <v/>
      </c>
      <c r="L13" s="63">
        <f>IF(K13&gt;=0,"Under","Over")</f>
        <v/>
      </c>
      <c r="M13" s="63">
        <f>VALUE(MID(B13,1,2))</f>
        <v/>
      </c>
    </row>
    <row r="14" ht="15" customHeight="1" s="43">
      <c r="B14" s="54" t="inlineStr">
        <is>
          <t>02/05/2025</t>
        </is>
      </c>
      <c r="C14" s="73" t="inlineStr">
        <is>
          <t>T-2503</t>
        </is>
      </c>
      <c r="D14" s="54" t="inlineStr">
        <is>
          <t>Communications Director</t>
        </is>
      </c>
      <c r="E14" s="54" t="inlineStr">
        <is>
          <t>Denver, CO</t>
        </is>
      </c>
      <c r="F14" s="54" t="inlineStr">
        <is>
          <t>Western States Governors Summit</t>
        </is>
      </c>
      <c r="G14" s="54" t="inlineStr">
        <is>
          <t>Adtrav</t>
        </is>
      </c>
      <c r="H14" s="54" t="inlineStr">
        <is>
          <t>Conference Registration</t>
        </is>
      </c>
      <c r="I14" s="55" t="n">
        <v>750</v>
      </c>
      <c r="J14" s="55" t="n">
        <v>800</v>
      </c>
      <c r="K14" s="56">
        <f>J14-I14</f>
        <v/>
      </c>
      <c r="L14" s="58">
        <f>IF(K14&gt;=0,"Under","Over")</f>
        <v/>
      </c>
      <c r="M14" s="58">
        <f>VALUE(MID(B14,1,2))</f>
        <v/>
      </c>
    </row>
    <row r="15" ht="15" customHeight="1" s="43">
      <c r="B15" s="59" t="inlineStr">
        <is>
          <t>02/18/2025</t>
        </is>
      </c>
      <c r="C15" s="74" t="inlineStr">
        <is>
          <t>T-2504</t>
        </is>
      </c>
      <c r="D15" s="59" t="inlineStr">
        <is>
          <t>Chief of Staff</t>
        </is>
      </c>
      <c r="E15" s="59" t="inlineStr">
        <is>
          <t>Washington, DC</t>
        </is>
      </c>
      <c r="F15" s="59" t="inlineStr">
        <is>
          <t>Federal Funding Strategy</t>
        </is>
      </c>
      <c r="G15" s="59" t="inlineStr">
        <is>
          <t>Adtrav</t>
        </is>
      </c>
      <c r="H15" s="59" t="inlineStr">
        <is>
          <t>Airfare</t>
        </is>
      </c>
      <c r="I15" s="60" t="n">
        <v>715</v>
      </c>
      <c r="J15" s="60" t="n">
        <v>750</v>
      </c>
      <c r="K15" s="61">
        <f>J15-I15</f>
        <v/>
      </c>
      <c r="L15" s="63">
        <f>IF(K15&gt;=0,"Under","Over")</f>
        <v/>
      </c>
      <c r="M15" s="63">
        <f>VALUE(MID(B15,1,2))</f>
        <v/>
      </c>
    </row>
    <row r="16" ht="15" customHeight="1" s="43">
      <c r="B16" s="54" t="inlineStr">
        <is>
          <t>02/18/2025</t>
        </is>
      </c>
      <c r="C16" s="73" t="inlineStr">
        <is>
          <t>T-2504</t>
        </is>
      </c>
      <c r="D16" s="54" t="inlineStr">
        <is>
          <t>Chief of Staff</t>
        </is>
      </c>
      <c r="E16" s="54" t="inlineStr">
        <is>
          <t>Washington, DC</t>
        </is>
      </c>
      <c r="F16" s="54" t="inlineStr">
        <is>
          <t>Federal Funding Strategy</t>
        </is>
      </c>
      <c r="G16" s="54" t="inlineStr">
        <is>
          <t>Adtrav</t>
        </is>
      </c>
      <c r="H16" s="54" t="inlineStr">
        <is>
          <t>Lodging</t>
        </is>
      </c>
      <c r="I16" s="55" t="n">
        <v>1380</v>
      </c>
      <c r="J16" s="55" t="n">
        <v>1400</v>
      </c>
      <c r="K16" s="56">
        <f>J16-I16</f>
        <v/>
      </c>
      <c r="L16" s="58">
        <f>IF(K16&gt;=0,"Under","Over")</f>
        <v/>
      </c>
      <c r="M16" s="58">
        <f>VALUE(MID(B16,1,2))</f>
        <v/>
      </c>
    </row>
    <row r="17" ht="15" customHeight="1" s="43">
      <c r="B17" s="59" t="inlineStr">
        <is>
          <t>02/18/2025</t>
        </is>
      </c>
      <c r="C17" s="74" t="inlineStr">
        <is>
          <t>T-2504</t>
        </is>
      </c>
      <c r="D17" s="59" t="inlineStr">
        <is>
          <t>Chief of Staff</t>
        </is>
      </c>
      <c r="E17" s="59" t="inlineStr">
        <is>
          <t>Washington, DC</t>
        </is>
      </c>
      <c r="F17" s="59" t="inlineStr">
        <is>
          <t>Federal Funding Strategy</t>
        </is>
      </c>
      <c r="G17" s="59" t="inlineStr">
        <is>
          <t>Enterprise</t>
        </is>
      </c>
      <c r="H17" s="59" t="inlineStr">
        <is>
          <t>Ground Transportation</t>
        </is>
      </c>
      <c r="I17" s="60" t="n">
        <v>210</v>
      </c>
      <c r="J17" s="60" t="n">
        <v>250</v>
      </c>
      <c r="K17" s="61">
        <f>J17-I17</f>
        <v/>
      </c>
      <c r="L17" s="63">
        <f>IF(K17&gt;=0,"Under","Over")</f>
        <v/>
      </c>
      <c r="M17" s="63">
        <f>VALUE(MID(B17,1,2))</f>
        <v/>
      </c>
    </row>
    <row r="18" ht="15" customHeight="1" s="43">
      <c r="B18" s="54" t="inlineStr">
        <is>
          <t>03/04/2025</t>
        </is>
      </c>
      <c r="C18" s="73" t="inlineStr">
        <is>
          <t>T-2505</t>
        </is>
      </c>
      <c r="D18" s="54" t="inlineStr">
        <is>
          <t>Policy Advisor</t>
        </is>
      </c>
      <c r="E18" s="54" t="inlineStr">
        <is>
          <t>San Francisco, CA</t>
        </is>
      </c>
      <c r="F18" s="54" t="inlineStr">
        <is>
          <t>Tech Policy Roundtable</t>
        </is>
      </c>
      <c r="G18" s="54" t="inlineStr">
        <is>
          <t>Adtrav</t>
        </is>
      </c>
      <c r="H18" s="54" t="inlineStr">
        <is>
          <t>Airfare</t>
        </is>
      </c>
      <c r="I18" s="55" t="n">
        <v>345</v>
      </c>
      <c r="J18" s="55" t="n">
        <v>425</v>
      </c>
      <c r="K18" s="56">
        <f>J18-I18</f>
        <v/>
      </c>
      <c r="L18" s="58">
        <f>IF(K18&gt;=0,"Under","Over")</f>
        <v/>
      </c>
      <c r="M18" s="58">
        <f>VALUE(MID(B18,1,2))</f>
        <v/>
      </c>
    </row>
    <row r="19" ht="15" customHeight="1" s="43">
      <c r="B19" s="59" t="inlineStr">
        <is>
          <t>03/04/2025</t>
        </is>
      </c>
      <c r="C19" s="74" t="inlineStr">
        <is>
          <t>T-2505</t>
        </is>
      </c>
      <c r="D19" s="59" t="inlineStr">
        <is>
          <t>Policy Advisor</t>
        </is>
      </c>
      <c r="E19" s="59" t="inlineStr">
        <is>
          <t>San Francisco, CA</t>
        </is>
      </c>
      <c r="F19" s="59" t="inlineStr">
        <is>
          <t>Tech Policy Roundtable</t>
        </is>
      </c>
      <c r="G19" s="59" t="inlineStr">
        <is>
          <t>Adtrav</t>
        </is>
      </c>
      <c r="H19" s="59" t="inlineStr">
        <is>
          <t>Lodging</t>
        </is>
      </c>
      <c r="I19" s="60" t="n">
        <v>980</v>
      </c>
      <c r="J19" s="60" t="n">
        <v>1050</v>
      </c>
      <c r="K19" s="61">
        <f>J19-I19</f>
        <v/>
      </c>
      <c r="L19" s="63">
        <f>IF(K19&gt;=0,"Under","Over")</f>
        <v/>
      </c>
      <c r="M19" s="63">
        <f>VALUE(MID(B19,1,2))</f>
        <v/>
      </c>
    </row>
    <row r="20" ht="15" customHeight="1" s="43">
      <c r="B20" s="54" t="inlineStr">
        <is>
          <t>03/04/2025</t>
        </is>
      </c>
      <c r="C20" s="73" t="inlineStr">
        <is>
          <t>T-2505</t>
        </is>
      </c>
      <c r="D20" s="54" t="inlineStr">
        <is>
          <t>Policy Advisor</t>
        </is>
      </c>
      <c r="E20" s="54" t="inlineStr">
        <is>
          <t>San Francisco, CA</t>
        </is>
      </c>
      <c r="F20" s="54" t="inlineStr">
        <is>
          <t>Tech Policy Roundtable</t>
        </is>
      </c>
      <c r="G20" s="54" t="inlineStr">
        <is>
          <t>Adtrav</t>
        </is>
      </c>
      <c r="H20" s="54" t="inlineStr">
        <is>
          <t>Per Diem / Meals</t>
        </is>
      </c>
      <c r="I20" s="55" t="n">
        <v>356</v>
      </c>
      <c r="J20" s="55" t="n">
        <v>425</v>
      </c>
      <c r="K20" s="56">
        <f>J20-I20</f>
        <v/>
      </c>
      <c r="L20" s="58">
        <f>IF(K20&gt;=0,"Under","Over")</f>
        <v/>
      </c>
      <c r="M20" s="58">
        <f>VALUE(MID(B20,1,2))</f>
        <v/>
      </c>
    </row>
    <row r="21" ht="15" customHeight="1" s="43">
      <c r="B21" s="59" t="inlineStr">
        <is>
          <t>03/19/2025</t>
        </is>
      </c>
      <c r="C21" s="74" t="inlineStr">
        <is>
          <t>T-2506</t>
        </is>
      </c>
      <c r="D21" s="59" t="inlineStr">
        <is>
          <t>Deputy Chief of Staff</t>
        </is>
      </c>
      <c r="E21" s="59" t="inlineStr">
        <is>
          <t>Nashville, TN</t>
        </is>
      </c>
      <c r="F21" s="59" t="inlineStr">
        <is>
          <t>NGA Spring Meeting</t>
        </is>
      </c>
      <c r="G21" s="59" t="inlineStr">
        <is>
          <t>Adtrav</t>
        </is>
      </c>
      <c r="H21" s="59" t="inlineStr">
        <is>
          <t>Airfare</t>
        </is>
      </c>
      <c r="I21" s="60" t="n">
        <v>525</v>
      </c>
      <c r="J21" s="60" t="n">
        <v>600</v>
      </c>
      <c r="K21" s="61">
        <f>J21-I21</f>
        <v/>
      </c>
      <c r="L21" s="63">
        <f>IF(K21&gt;=0,"Under","Over")</f>
        <v/>
      </c>
      <c r="M21" s="63">
        <f>VALUE(MID(B21,1,2))</f>
        <v/>
      </c>
    </row>
    <row r="22" ht="15" customHeight="1" s="43">
      <c r="B22" s="54" t="inlineStr">
        <is>
          <t>03/19/2025</t>
        </is>
      </c>
      <c r="C22" s="73" t="inlineStr">
        <is>
          <t>T-2506</t>
        </is>
      </c>
      <c r="D22" s="54" t="inlineStr">
        <is>
          <t>Deputy Chief of Staff</t>
        </is>
      </c>
      <c r="E22" s="54" t="inlineStr">
        <is>
          <t>Nashville, TN</t>
        </is>
      </c>
      <c r="F22" s="54" t="inlineStr">
        <is>
          <t>NGA Spring Meeting</t>
        </is>
      </c>
      <c r="G22" s="54" t="inlineStr">
        <is>
          <t>Adtrav</t>
        </is>
      </c>
      <c r="H22" s="54" t="inlineStr">
        <is>
          <t>Lodging</t>
        </is>
      </c>
      <c r="I22" s="55" t="n">
        <v>890</v>
      </c>
      <c r="J22" s="55" t="n">
        <v>975</v>
      </c>
      <c r="K22" s="56">
        <f>J22-I22</f>
        <v/>
      </c>
      <c r="L22" s="58">
        <f>IF(K22&gt;=0,"Under","Over")</f>
        <v/>
      </c>
      <c r="M22" s="58">
        <f>VALUE(MID(B22,1,2))</f>
        <v/>
      </c>
    </row>
    <row r="23" ht="15" customHeight="1" s="43">
      <c r="B23" s="59" t="inlineStr">
        <is>
          <t>03/19/2025</t>
        </is>
      </c>
      <c r="C23" s="74" t="inlineStr">
        <is>
          <t>T-2506</t>
        </is>
      </c>
      <c r="D23" s="59" t="inlineStr">
        <is>
          <t>Deputy Chief of Staff</t>
        </is>
      </c>
      <c r="E23" s="59" t="inlineStr">
        <is>
          <t>Nashville, TN</t>
        </is>
      </c>
      <c r="F23" s="59" t="inlineStr">
        <is>
          <t>NGA Spring Meeting</t>
        </is>
      </c>
      <c r="G23" s="59" t="inlineStr">
        <is>
          <t>Adtrav</t>
        </is>
      </c>
      <c r="H23" s="59" t="inlineStr">
        <is>
          <t>Conference Registration</t>
        </is>
      </c>
      <c r="I23" s="60" t="n">
        <v>650</v>
      </c>
      <c r="J23" s="60" t="n">
        <v>700</v>
      </c>
      <c r="K23" s="61">
        <f>J23-I23</f>
        <v/>
      </c>
      <c r="L23" s="63">
        <f>IF(K23&gt;=0,"Under","Over")</f>
        <v/>
      </c>
      <c r="M23" s="63">
        <f>VALUE(MID(B23,1,2))</f>
        <v/>
      </c>
    </row>
    <row r="24" ht="15" customHeight="1" s="43">
      <c r="B24" s="54" t="inlineStr">
        <is>
          <t>04/08/2025</t>
        </is>
      </c>
      <c r="C24" s="73" t="inlineStr">
        <is>
          <t>T-2507</t>
        </is>
      </c>
      <c r="D24" s="54" t="inlineStr">
        <is>
          <t>Governor</t>
        </is>
      </c>
      <c r="E24" s="54" t="inlineStr">
        <is>
          <t>Los Angeles, CA</t>
        </is>
      </c>
      <c r="F24" s="54" t="inlineStr">
        <is>
          <t>Economic Development Summit</t>
        </is>
      </c>
      <c r="G24" s="54" t="inlineStr">
        <is>
          <t>Adtrav</t>
        </is>
      </c>
      <c r="H24" s="54" t="inlineStr">
        <is>
          <t>Airfare</t>
        </is>
      </c>
      <c r="I24" s="55" t="n">
        <v>525</v>
      </c>
      <c r="J24" s="55" t="n">
        <v>650</v>
      </c>
      <c r="K24" s="56">
        <f>J24-I24</f>
        <v/>
      </c>
      <c r="L24" s="58">
        <f>IF(K24&gt;=0,"Under","Over")</f>
        <v/>
      </c>
      <c r="M24" s="58">
        <f>VALUE(MID(B24,1,2))</f>
        <v/>
      </c>
    </row>
    <row r="25" ht="15" customHeight="1" s="43">
      <c r="B25" s="59" t="inlineStr">
        <is>
          <t>04/08/2025</t>
        </is>
      </c>
      <c r="C25" s="74" t="inlineStr">
        <is>
          <t>T-2507</t>
        </is>
      </c>
      <c r="D25" s="59" t="inlineStr">
        <is>
          <t>Governor</t>
        </is>
      </c>
      <c r="E25" s="59" t="inlineStr">
        <is>
          <t>Los Angeles, CA</t>
        </is>
      </c>
      <c r="F25" s="59" t="inlineStr">
        <is>
          <t>Economic Development Summit</t>
        </is>
      </c>
      <c r="G25" s="59" t="inlineStr">
        <is>
          <t>Adtrav</t>
        </is>
      </c>
      <c r="H25" s="59" t="inlineStr">
        <is>
          <t>Lodging</t>
        </is>
      </c>
      <c r="I25" s="60" t="n">
        <v>1450</v>
      </c>
      <c r="J25" s="60" t="n">
        <v>1500</v>
      </c>
      <c r="K25" s="61">
        <f>J25-I25</f>
        <v/>
      </c>
      <c r="L25" s="63">
        <f>IF(K25&gt;=0,"Under","Over")</f>
        <v/>
      </c>
      <c r="M25" s="63">
        <f>VALUE(MID(B25,1,2))</f>
        <v/>
      </c>
    </row>
    <row r="26" ht="15" customHeight="1" s="43">
      <c r="B26" s="54" t="inlineStr">
        <is>
          <t>04/08/2025</t>
        </is>
      </c>
      <c r="C26" s="73" t="inlineStr">
        <is>
          <t>T-2507</t>
        </is>
      </c>
      <c r="D26" s="54" t="inlineStr">
        <is>
          <t>Governor</t>
        </is>
      </c>
      <c r="E26" s="54" t="inlineStr">
        <is>
          <t>Los Angeles, CA</t>
        </is>
      </c>
      <c r="F26" s="54" t="inlineStr">
        <is>
          <t>Economic Development Summit</t>
        </is>
      </c>
      <c r="G26" s="54" t="inlineStr">
        <is>
          <t>Enterprise</t>
        </is>
      </c>
      <c r="H26" s="54" t="inlineStr">
        <is>
          <t>Ground Transportation</t>
        </is>
      </c>
      <c r="I26" s="55" t="n">
        <v>325</v>
      </c>
      <c r="J26" s="55" t="n">
        <v>400</v>
      </c>
      <c r="K26" s="56">
        <f>J26-I26</f>
        <v/>
      </c>
      <c r="L26" s="58">
        <f>IF(K26&gt;=0,"Under","Over")</f>
        <v/>
      </c>
      <c r="M26" s="58">
        <f>VALUE(MID(B26,1,2))</f>
        <v/>
      </c>
    </row>
    <row r="27" ht="15" customHeight="1" s="43">
      <c r="B27" s="59" t="inlineStr">
        <is>
          <t>04/22/2025</t>
        </is>
      </c>
      <c r="C27" s="74" t="inlineStr">
        <is>
          <t>T-2508</t>
        </is>
      </c>
      <c r="D27" s="59" t="inlineStr">
        <is>
          <t>Communications Director</t>
        </is>
      </c>
      <c r="E27" s="59" t="inlineStr">
        <is>
          <t>Salt Lake City, UT</t>
        </is>
      </c>
      <c r="F27" s="59" t="inlineStr">
        <is>
          <t>Western Media Conference</t>
        </is>
      </c>
      <c r="G27" s="59" t="inlineStr">
        <is>
          <t>Adtrav</t>
        </is>
      </c>
      <c r="H27" s="59" t="inlineStr">
        <is>
          <t>Airfare</t>
        </is>
      </c>
      <c r="I27" s="60" t="n">
        <v>285</v>
      </c>
      <c r="J27" s="60" t="n">
        <v>350</v>
      </c>
      <c r="K27" s="61">
        <f>J27-I27</f>
        <v/>
      </c>
      <c r="L27" s="63">
        <f>IF(K27&gt;=0,"Under","Over")</f>
        <v/>
      </c>
      <c r="M27" s="63">
        <f>VALUE(MID(B27,1,2))</f>
        <v/>
      </c>
    </row>
    <row r="28" ht="15" customHeight="1" s="43">
      <c r="B28" s="54" t="inlineStr">
        <is>
          <t>04/22/2025</t>
        </is>
      </c>
      <c r="C28" s="73" t="inlineStr">
        <is>
          <t>T-2508</t>
        </is>
      </c>
      <c r="D28" s="54" t="inlineStr">
        <is>
          <t>Communications Director</t>
        </is>
      </c>
      <c r="E28" s="54" t="inlineStr">
        <is>
          <t>Salt Lake City, UT</t>
        </is>
      </c>
      <c r="F28" s="54" t="inlineStr">
        <is>
          <t>Western Media Conference</t>
        </is>
      </c>
      <c r="G28" s="54" t="inlineStr">
        <is>
          <t>Adtrav</t>
        </is>
      </c>
      <c r="H28" s="54" t="inlineStr">
        <is>
          <t>Lodging</t>
        </is>
      </c>
      <c r="I28" s="55" t="n">
        <v>540</v>
      </c>
      <c r="J28" s="55" t="n">
        <v>650</v>
      </c>
      <c r="K28" s="56">
        <f>J28-I28</f>
        <v/>
      </c>
      <c r="L28" s="58">
        <f>IF(K28&gt;=0,"Under","Over")</f>
        <v/>
      </c>
      <c r="M28" s="58">
        <f>VALUE(MID(B28,1,2))</f>
        <v/>
      </c>
    </row>
    <row r="29" ht="15" customHeight="1" s="43">
      <c r="B29" s="59" t="inlineStr">
        <is>
          <t>05/06/2025</t>
        </is>
      </c>
      <c r="C29" s="74" t="inlineStr">
        <is>
          <t>T-2509</t>
        </is>
      </c>
      <c r="D29" s="59" t="inlineStr">
        <is>
          <t>Policy Advisor</t>
        </is>
      </c>
      <c r="E29" s="59" t="inlineStr">
        <is>
          <t>Chicago, IL</t>
        </is>
      </c>
      <c r="F29" s="59" t="inlineStr">
        <is>
          <t>Policy Research Symposium</t>
        </is>
      </c>
      <c r="G29" s="59" t="inlineStr">
        <is>
          <t>Adtrav</t>
        </is>
      </c>
      <c r="H29" s="59" t="inlineStr">
        <is>
          <t>Airfare</t>
        </is>
      </c>
      <c r="I29" s="60" t="n">
        <v>425</v>
      </c>
      <c r="J29" s="60" t="n">
        <v>500</v>
      </c>
      <c r="K29" s="61">
        <f>J29-I29</f>
        <v/>
      </c>
      <c r="L29" s="63">
        <f>IF(K29&gt;=0,"Under","Over")</f>
        <v/>
      </c>
      <c r="M29" s="63">
        <f>VALUE(MID(B29,1,2))</f>
        <v/>
      </c>
    </row>
    <row r="30" ht="15" customHeight="1" s="43">
      <c r="B30" s="54" t="inlineStr">
        <is>
          <t>05/06/2025</t>
        </is>
      </c>
      <c r="C30" s="73" t="inlineStr">
        <is>
          <t>T-2509</t>
        </is>
      </c>
      <c r="D30" s="54" t="inlineStr">
        <is>
          <t>Policy Advisor</t>
        </is>
      </c>
      <c r="E30" s="54" t="inlineStr">
        <is>
          <t>Chicago, IL</t>
        </is>
      </c>
      <c r="F30" s="54" t="inlineStr">
        <is>
          <t>Policy Research Symposium</t>
        </is>
      </c>
      <c r="G30" s="54" t="inlineStr">
        <is>
          <t>Adtrav</t>
        </is>
      </c>
      <c r="H30" s="54" t="inlineStr">
        <is>
          <t>Lodging</t>
        </is>
      </c>
      <c r="I30" s="55" t="n">
        <v>720</v>
      </c>
      <c r="J30" s="55" t="n">
        <v>825</v>
      </c>
      <c r="K30" s="56">
        <f>J30-I30</f>
        <v/>
      </c>
      <c r="L30" s="58">
        <f>IF(K30&gt;=0,"Under","Over")</f>
        <v/>
      </c>
      <c r="M30" s="58">
        <f>VALUE(MID(B30,1,2))</f>
        <v/>
      </c>
    </row>
    <row r="31" ht="15" customHeight="1" s="43">
      <c r="B31" s="59" t="inlineStr">
        <is>
          <t>05/06/2025</t>
        </is>
      </c>
      <c r="C31" s="74" t="inlineStr">
        <is>
          <t>T-2509</t>
        </is>
      </c>
      <c r="D31" s="59" t="inlineStr">
        <is>
          <t>Policy Advisor</t>
        </is>
      </c>
      <c r="E31" s="59" t="inlineStr">
        <is>
          <t>Chicago, IL</t>
        </is>
      </c>
      <c r="F31" s="59" t="inlineStr">
        <is>
          <t>Policy Research Symposium</t>
        </is>
      </c>
      <c r="G31" s="59" t="inlineStr">
        <is>
          <t>Adtrav</t>
        </is>
      </c>
      <c r="H31" s="59" t="inlineStr">
        <is>
          <t>Per Diem / Meals</t>
        </is>
      </c>
      <c r="I31" s="60" t="n">
        <v>445</v>
      </c>
      <c r="J31" s="60" t="n">
        <v>500</v>
      </c>
      <c r="K31" s="61">
        <f>J31-I31</f>
        <v/>
      </c>
      <c r="L31" s="63">
        <f>IF(K31&gt;=0,"Under","Over")</f>
        <v/>
      </c>
      <c r="M31" s="63">
        <f>VALUE(MID(B31,1,2))</f>
        <v/>
      </c>
    </row>
    <row r="32" ht="15" customHeight="1" s="43">
      <c r="B32" s="54" t="inlineStr">
        <is>
          <t>05/20/2025</t>
        </is>
      </c>
      <c r="C32" s="73" t="inlineStr">
        <is>
          <t>T-2510</t>
        </is>
      </c>
      <c r="D32" s="54" t="inlineStr">
        <is>
          <t>Chief of Staff</t>
        </is>
      </c>
      <c r="E32" s="54" t="inlineStr">
        <is>
          <t>New York, NY</t>
        </is>
      </c>
      <c r="F32" s="54" t="inlineStr">
        <is>
          <t>NE Corridor Gov. Meeting</t>
        </is>
      </c>
      <c r="G32" s="54" t="inlineStr">
        <is>
          <t>Adtrav</t>
        </is>
      </c>
      <c r="H32" s="54" t="inlineStr">
        <is>
          <t>Airfare</t>
        </is>
      </c>
      <c r="I32" s="55" t="n">
        <v>645</v>
      </c>
      <c r="J32" s="55" t="n">
        <v>700</v>
      </c>
      <c r="K32" s="56">
        <f>J32-I32</f>
        <v/>
      </c>
      <c r="L32" s="58">
        <f>IF(K32&gt;=0,"Under","Over")</f>
        <v/>
      </c>
      <c r="M32" s="58">
        <f>VALUE(MID(B32,1,2))</f>
        <v/>
      </c>
    </row>
    <row r="33" ht="15" customHeight="1" s="43">
      <c r="B33" s="59" t="inlineStr">
        <is>
          <t>05/20/2025</t>
        </is>
      </c>
      <c r="C33" s="74" t="inlineStr">
        <is>
          <t>T-2510</t>
        </is>
      </c>
      <c r="D33" s="59" t="inlineStr">
        <is>
          <t>Chief of Staff</t>
        </is>
      </c>
      <c r="E33" s="59" t="inlineStr">
        <is>
          <t>New York, NY</t>
        </is>
      </c>
      <c r="F33" s="59" t="inlineStr">
        <is>
          <t>NE Corridor Gov. Meeting</t>
        </is>
      </c>
      <c r="G33" s="59" t="inlineStr">
        <is>
          <t>Adtrav</t>
        </is>
      </c>
      <c r="H33" s="59" t="inlineStr">
        <is>
          <t>Lodging</t>
        </is>
      </c>
      <c r="I33" s="60" t="n">
        <v>1680</v>
      </c>
      <c r="J33" s="60" t="n">
        <v>1750</v>
      </c>
      <c r="K33" s="61">
        <f>J33-I33</f>
        <v/>
      </c>
      <c r="L33" s="63">
        <f>IF(K33&gt;=0,"Under","Over")</f>
        <v/>
      </c>
      <c r="M33" s="63">
        <f>VALUE(MID(B33,1,2))</f>
        <v/>
      </c>
    </row>
    <row r="34" ht="15" customHeight="1" s="43">
      <c r="B34" s="54" t="inlineStr">
        <is>
          <t>06/04/2025</t>
        </is>
      </c>
      <c r="C34" s="73" t="inlineStr">
        <is>
          <t>T-2511</t>
        </is>
      </c>
      <c r="D34" s="54" t="inlineStr">
        <is>
          <t>Deputy Chief of Staff</t>
        </is>
      </c>
      <c r="E34" s="54" t="inlineStr">
        <is>
          <t>Honolulu, HI</t>
        </is>
      </c>
      <c r="F34" s="54" t="inlineStr">
        <is>
          <t>WGA Annual Meeting</t>
        </is>
      </c>
      <c r="G34" s="54" t="inlineStr">
        <is>
          <t>Adtrav</t>
        </is>
      </c>
      <c r="H34" s="54" t="inlineStr">
        <is>
          <t>Airfare</t>
        </is>
      </c>
      <c r="I34" s="55" t="n">
        <v>895</v>
      </c>
      <c r="J34" s="55" t="n">
        <v>1100</v>
      </c>
      <c r="K34" s="56">
        <f>J34-I34</f>
        <v/>
      </c>
      <c r="L34" s="58">
        <f>IF(K34&gt;=0,"Under","Over")</f>
        <v/>
      </c>
      <c r="M34" s="58">
        <f>VALUE(MID(B34,1,2))</f>
        <v/>
      </c>
    </row>
    <row r="35" ht="15" customHeight="1" s="43">
      <c r="B35" s="59" t="inlineStr">
        <is>
          <t>06/04/2025</t>
        </is>
      </c>
      <c r="C35" s="74" t="inlineStr">
        <is>
          <t>T-2511</t>
        </is>
      </c>
      <c r="D35" s="59" t="inlineStr">
        <is>
          <t>Deputy Chief of Staff</t>
        </is>
      </c>
      <c r="E35" s="59" t="inlineStr">
        <is>
          <t>Honolulu, HI</t>
        </is>
      </c>
      <c r="F35" s="59" t="inlineStr">
        <is>
          <t>WGA Annual Meeting</t>
        </is>
      </c>
      <c r="G35" s="59" t="inlineStr">
        <is>
          <t>Adtrav</t>
        </is>
      </c>
      <c r="H35" s="59" t="inlineStr">
        <is>
          <t>Lodging</t>
        </is>
      </c>
      <c r="I35" s="60" t="n">
        <v>2150</v>
      </c>
      <c r="J35" s="60" t="n">
        <v>2200</v>
      </c>
      <c r="K35" s="61">
        <f>J35-I35</f>
        <v/>
      </c>
      <c r="L35" s="63">
        <f>IF(K35&gt;=0,"Under","Over")</f>
        <v/>
      </c>
      <c r="M35" s="63">
        <f>VALUE(MID(B35,1,2))</f>
        <v/>
      </c>
    </row>
    <row r="36" ht="15" customHeight="1" s="43">
      <c r="B36" s="54" t="inlineStr">
        <is>
          <t>06/04/2025</t>
        </is>
      </c>
      <c r="C36" s="73" t="inlineStr">
        <is>
          <t>T-2511</t>
        </is>
      </c>
      <c r="D36" s="54" t="inlineStr">
        <is>
          <t>Deputy Chief of Staff</t>
        </is>
      </c>
      <c r="E36" s="54" t="inlineStr">
        <is>
          <t>Honolulu, HI</t>
        </is>
      </c>
      <c r="F36" s="54" t="inlineStr">
        <is>
          <t>WGA Annual Meeting</t>
        </is>
      </c>
      <c r="G36" s="54" t="inlineStr">
        <is>
          <t>Adtrav</t>
        </is>
      </c>
      <c r="H36" s="54" t="inlineStr">
        <is>
          <t>Conference Registration</t>
        </is>
      </c>
      <c r="I36" s="55" t="n">
        <v>895</v>
      </c>
      <c r="J36" s="55" t="n">
        <v>950</v>
      </c>
      <c r="K36" s="56">
        <f>J36-I36</f>
        <v/>
      </c>
      <c r="L36" s="58">
        <f>IF(K36&gt;=0,"Under","Over")</f>
        <v/>
      </c>
      <c r="M36" s="58">
        <f>VALUE(MID(B36,1,2))</f>
        <v/>
      </c>
    </row>
    <row r="37" ht="15" customHeight="1" s="43">
      <c r="B37" s="59" t="inlineStr">
        <is>
          <t>06/18/2025</t>
        </is>
      </c>
      <c r="C37" s="74" t="inlineStr">
        <is>
          <t>T-2512</t>
        </is>
      </c>
      <c r="D37" s="59" t="inlineStr">
        <is>
          <t>Policy Advisor</t>
        </is>
      </c>
      <c r="E37" s="59" t="inlineStr">
        <is>
          <t>Atlanta, GA</t>
        </is>
      </c>
      <c r="F37" s="59" t="inlineStr">
        <is>
          <t>Southeast Policy Forum</t>
        </is>
      </c>
      <c r="G37" s="59" t="inlineStr">
        <is>
          <t>Adtrav</t>
        </is>
      </c>
      <c r="H37" s="59" t="inlineStr">
        <is>
          <t>Airfare</t>
        </is>
      </c>
      <c r="I37" s="60" t="n">
        <v>388</v>
      </c>
      <c r="J37" s="60" t="n">
        <v>450</v>
      </c>
      <c r="K37" s="61">
        <f>J37-I37</f>
        <v/>
      </c>
      <c r="L37" s="63">
        <f>IF(K37&gt;=0,"Under","Over")</f>
        <v/>
      </c>
      <c r="M37" s="63">
        <f>VALUE(MID(B37,1,2))</f>
        <v/>
      </c>
    </row>
    <row r="38" ht="15" customHeight="1" s="43">
      <c r="B38" s="54" t="inlineStr">
        <is>
          <t>06/18/2025</t>
        </is>
      </c>
      <c r="C38" s="73" t="inlineStr">
        <is>
          <t>T-2512</t>
        </is>
      </c>
      <c r="D38" s="54" t="inlineStr">
        <is>
          <t>Policy Advisor</t>
        </is>
      </c>
      <c r="E38" s="54" t="inlineStr">
        <is>
          <t>Atlanta, GA</t>
        </is>
      </c>
      <c r="F38" s="54" t="inlineStr">
        <is>
          <t>Southeast Policy Forum</t>
        </is>
      </c>
      <c r="G38" s="54" t="inlineStr">
        <is>
          <t>Adtrav</t>
        </is>
      </c>
      <c r="H38" s="54" t="inlineStr">
        <is>
          <t>Lodging</t>
        </is>
      </c>
      <c r="I38" s="55" t="n">
        <v>560</v>
      </c>
      <c r="J38" s="55" t="n">
        <v>625</v>
      </c>
      <c r="K38" s="56">
        <f>J38-I38</f>
        <v/>
      </c>
      <c r="L38" s="58">
        <f>IF(K38&gt;=0,"Under","Over")</f>
        <v/>
      </c>
      <c r="M38" s="58">
        <f>VALUE(MID(B38,1,2))</f>
        <v/>
      </c>
    </row>
    <row r="39" ht="15" customHeight="1" s="43">
      <c r="B39" s="59" t="inlineStr">
        <is>
          <t>07/09/2025</t>
        </is>
      </c>
      <c r="C39" s="74" t="inlineStr">
        <is>
          <t>T-2513</t>
        </is>
      </c>
      <c r="D39" s="59" t="inlineStr">
        <is>
          <t>Communications Director</t>
        </is>
      </c>
      <c r="E39" s="59" t="inlineStr">
        <is>
          <t>Boston, MA</t>
        </is>
      </c>
      <c r="F39" s="59" t="inlineStr">
        <is>
          <t>Public Affairs Conference</t>
        </is>
      </c>
      <c r="G39" s="59" t="inlineStr">
        <is>
          <t>Adtrav</t>
        </is>
      </c>
      <c r="H39" s="59" t="inlineStr">
        <is>
          <t>Airfare</t>
        </is>
      </c>
      <c r="I39" s="60" t="n">
        <v>485</v>
      </c>
      <c r="J39" s="60" t="n">
        <v>550</v>
      </c>
      <c r="K39" s="61">
        <f>J39-I39</f>
        <v/>
      </c>
      <c r="L39" s="63">
        <f>IF(K39&gt;=0,"Under","Over")</f>
        <v/>
      </c>
      <c r="M39" s="63">
        <f>VALUE(MID(B39,1,2))</f>
        <v/>
      </c>
    </row>
    <row r="40" ht="15" customHeight="1" s="43">
      <c r="B40" s="54" t="inlineStr">
        <is>
          <t>07/09/2025</t>
        </is>
      </c>
      <c r="C40" s="73" t="inlineStr">
        <is>
          <t>T-2513</t>
        </is>
      </c>
      <c r="D40" s="54" t="inlineStr">
        <is>
          <t>Communications Director</t>
        </is>
      </c>
      <c r="E40" s="54" t="inlineStr">
        <is>
          <t>Boston, MA</t>
        </is>
      </c>
      <c r="F40" s="54" t="inlineStr">
        <is>
          <t>Public Affairs Conference</t>
        </is>
      </c>
      <c r="G40" s="54" t="inlineStr">
        <is>
          <t>Adtrav</t>
        </is>
      </c>
      <c r="H40" s="54" t="inlineStr">
        <is>
          <t>Lodging</t>
        </is>
      </c>
      <c r="I40" s="55" t="n">
        <v>850</v>
      </c>
      <c r="J40" s="55" t="n">
        <v>900</v>
      </c>
      <c r="K40" s="56">
        <f>J40-I40</f>
        <v/>
      </c>
      <c r="L40" s="58">
        <f>IF(K40&gt;=0,"Under","Over")</f>
        <v/>
      </c>
      <c r="M40" s="58">
        <f>VALUE(MID(B40,1,2))</f>
        <v/>
      </c>
    </row>
    <row r="41" ht="15" customHeight="1" s="43">
      <c r="B41" s="59" t="inlineStr">
        <is>
          <t>07/09/2025</t>
        </is>
      </c>
      <c r="C41" s="74" t="inlineStr">
        <is>
          <t>T-2513</t>
        </is>
      </c>
      <c r="D41" s="59" t="inlineStr">
        <is>
          <t>Communications Director</t>
        </is>
      </c>
      <c r="E41" s="59" t="inlineStr">
        <is>
          <t>Boston, MA</t>
        </is>
      </c>
      <c r="F41" s="59" t="inlineStr">
        <is>
          <t>Public Affairs Conference</t>
        </is>
      </c>
      <c r="G41" s="59" t="inlineStr">
        <is>
          <t>Adtrav</t>
        </is>
      </c>
      <c r="H41" s="59" t="inlineStr">
        <is>
          <t>Conference Registration</t>
        </is>
      </c>
      <c r="I41" s="60" t="n">
        <v>625</v>
      </c>
      <c r="J41" s="60" t="n">
        <v>700</v>
      </c>
      <c r="K41" s="61">
        <f>J41-I41</f>
        <v/>
      </c>
      <c r="L41" s="63">
        <f>IF(K41&gt;=0,"Under","Over")</f>
        <v/>
      </c>
      <c r="M41" s="63">
        <f>VALUE(MID(B41,1,2))</f>
        <v/>
      </c>
    </row>
    <row r="42" ht="15" customHeight="1" s="43">
      <c r="B42" s="54" t="inlineStr">
        <is>
          <t>07/23/2025</t>
        </is>
      </c>
      <c r="C42" s="73" t="inlineStr">
        <is>
          <t>T-2514</t>
        </is>
      </c>
      <c r="D42" s="54" t="inlineStr">
        <is>
          <t>Policy Advisor</t>
        </is>
      </c>
      <c r="E42" s="54" t="inlineStr">
        <is>
          <t>Minneapolis, MN</t>
        </is>
      </c>
      <c r="F42" s="54" t="inlineStr">
        <is>
          <t>Infrastructure Policy Workshop</t>
        </is>
      </c>
      <c r="G42" s="54" t="inlineStr">
        <is>
          <t>Adtrav</t>
        </is>
      </c>
      <c r="H42" s="54" t="inlineStr">
        <is>
          <t>Airfare</t>
        </is>
      </c>
      <c r="I42" s="55" t="n">
        <v>412</v>
      </c>
      <c r="J42" s="55" t="n">
        <v>475</v>
      </c>
      <c r="K42" s="56">
        <f>J42-I42</f>
        <v/>
      </c>
      <c r="L42" s="58">
        <f>IF(K42&gt;=0,"Under","Over")</f>
        <v/>
      </c>
      <c r="M42" s="58">
        <f>VALUE(MID(B42,1,2))</f>
        <v/>
      </c>
    </row>
    <row r="43" ht="15" customHeight="1" s="43">
      <c r="B43" s="59" t="inlineStr">
        <is>
          <t>07/23/2025</t>
        </is>
      </c>
      <c r="C43" s="74" t="inlineStr">
        <is>
          <t>T-2514</t>
        </is>
      </c>
      <c r="D43" s="59" t="inlineStr">
        <is>
          <t>Policy Advisor</t>
        </is>
      </c>
      <c r="E43" s="59" t="inlineStr">
        <is>
          <t>Minneapolis, MN</t>
        </is>
      </c>
      <c r="F43" s="59" t="inlineStr">
        <is>
          <t>Infrastructure Policy Workshop</t>
        </is>
      </c>
      <c r="G43" s="59" t="inlineStr">
        <is>
          <t>Adtrav</t>
        </is>
      </c>
      <c r="H43" s="59" t="inlineStr">
        <is>
          <t>Lodging</t>
        </is>
      </c>
      <c r="I43" s="60" t="n">
        <v>620</v>
      </c>
      <c r="J43" s="60" t="n">
        <v>700</v>
      </c>
      <c r="K43" s="61">
        <f>J43-I43</f>
        <v/>
      </c>
      <c r="L43" s="63">
        <f>IF(K43&gt;=0,"Under","Over")</f>
        <v/>
      </c>
      <c r="M43" s="63">
        <f>VALUE(MID(B43,1,2))</f>
        <v/>
      </c>
    </row>
    <row r="44" ht="15" customHeight="1" s="43">
      <c r="B44" s="54" t="inlineStr">
        <is>
          <t>08/06/2025</t>
        </is>
      </c>
      <c r="C44" s="73" t="inlineStr">
        <is>
          <t>T-2515</t>
        </is>
      </c>
      <c r="D44" s="54" t="inlineStr">
        <is>
          <t>Chief of Staff</t>
        </is>
      </c>
      <c r="E44" s="54" t="inlineStr">
        <is>
          <t>Washington, DC</t>
        </is>
      </c>
      <c r="F44" s="54" t="inlineStr">
        <is>
          <t>Federal Coordination Meeting</t>
        </is>
      </c>
      <c r="G44" s="54" t="inlineStr">
        <is>
          <t>Adtrav</t>
        </is>
      </c>
      <c r="H44" s="54" t="inlineStr">
        <is>
          <t>Airfare</t>
        </is>
      </c>
      <c r="I44" s="55" t="n">
        <v>695</v>
      </c>
      <c r="J44" s="55" t="n">
        <v>750</v>
      </c>
      <c r="K44" s="56">
        <f>J44-I44</f>
        <v/>
      </c>
      <c r="L44" s="58">
        <f>IF(K44&gt;=0,"Under","Over")</f>
        <v/>
      </c>
      <c r="M44" s="58">
        <f>VALUE(MID(B44,1,2))</f>
        <v/>
      </c>
    </row>
    <row r="45" ht="15" customHeight="1" s="43">
      <c r="B45" s="59" t="inlineStr">
        <is>
          <t>08/06/2025</t>
        </is>
      </c>
      <c r="C45" s="74" t="inlineStr">
        <is>
          <t>T-2515</t>
        </is>
      </c>
      <c r="D45" s="59" t="inlineStr">
        <is>
          <t>Chief of Staff</t>
        </is>
      </c>
      <c r="E45" s="59" t="inlineStr">
        <is>
          <t>Washington, DC</t>
        </is>
      </c>
      <c r="F45" s="59" t="inlineStr">
        <is>
          <t>Federal Coordination Meeting</t>
        </is>
      </c>
      <c r="G45" s="59" t="inlineStr">
        <is>
          <t>Adtrav</t>
        </is>
      </c>
      <c r="H45" s="59" t="inlineStr">
        <is>
          <t>Lodging</t>
        </is>
      </c>
      <c r="I45" s="60" t="n">
        <v>1425</v>
      </c>
      <c r="J45" s="60" t="n">
        <v>1500</v>
      </c>
      <c r="K45" s="61">
        <f>J45-I45</f>
        <v/>
      </c>
      <c r="L45" s="63">
        <f>IF(K45&gt;=0,"Under","Over")</f>
        <v/>
      </c>
      <c r="M45" s="63">
        <f>VALUE(MID(B45,1,2))</f>
        <v/>
      </c>
    </row>
    <row r="46" ht="15" customHeight="1" s="43">
      <c r="B46" s="54" t="inlineStr">
        <is>
          <t>08/20/2025</t>
        </is>
      </c>
      <c r="C46" s="73" t="inlineStr">
        <is>
          <t>T-2516</t>
        </is>
      </c>
      <c r="D46" s="54" t="inlineStr">
        <is>
          <t>Deputy Chief of Staff</t>
        </is>
      </c>
      <c r="E46" s="54" t="inlineStr">
        <is>
          <t>Portland, OR</t>
        </is>
      </c>
      <c r="F46" s="54" t="inlineStr">
        <is>
          <t>Regional Economic Summit</t>
        </is>
      </c>
      <c r="G46" s="54" t="inlineStr">
        <is>
          <t>Adtrav</t>
        </is>
      </c>
      <c r="H46" s="54" t="inlineStr">
        <is>
          <t>Airfare</t>
        </is>
      </c>
      <c r="I46" s="55" t="n">
        <v>345</v>
      </c>
      <c r="J46" s="55" t="n">
        <v>425</v>
      </c>
      <c r="K46" s="56">
        <f>J46-I46</f>
        <v/>
      </c>
      <c r="L46" s="58">
        <f>IF(K46&gt;=0,"Under","Over")</f>
        <v/>
      </c>
      <c r="M46" s="58">
        <f>VALUE(MID(B46,1,2))</f>
        <v/>
      </c>
    </row>
    <row r="47" ht="15" customHeight="1" s="43">
      <c r="B47" s="59" t="inlineStr">
        <is>
          <t>08/20/2025</t>
        </is>
      </c>
      <c r="C47" s="74" t="inlineStr">
        <is>
          <t>T-2516</t>
        </is>
      </c>
      <c r="D47" s="59" t="inlineStr">
        <is>
          <t>Deputy Chief of Staff</t>
        </is>
      </c>
      <c r="E47" s="59" t="inlineStr">
        <is>
          <t>Portland, OR</t>
        </is>
      </c>
      <c r="F47" s="59" t="inlineStr">
        <is>
          <t>Regional Economic Summit</t>
        </is>
      </c>
      <c r="G47" s="59" t="inlineStr">
        <is>
          <t>Adtrav</t>
        </is>
      </c>
      <c r="H47" s="59" t="inlineStr">
        <is>
          <t>Lodging</t>
        </is>
      </c>
      <c r="I47" s="60" t="n">
        <v>680</v>
      </c>
      <c r="J47" s="60" t="n">
        <v>750</v>
      </c>
      <c r="K47" s="61">
        <f>J47-I47</f>
        <v/>
      </c>
      <c r="L47" s="63">
        <f>IF(K47&gt;=0,"Under","Over")</f>
        <v/>
      </c>
      <c r="M47" s="63">
        <f>VALUE(MID(B47,1,2))</f>
        <v/>
      </c>
    </row>
    <row r="48" ht="15" customHeight="1" s="43">
      <c r="B48" s="54" t="inlineStr">
        <is>
          <t>09/03/2025</t>
        </is>
      </c>
      <c r="C48" s="73" t="inlineStr">
        <is>
          <t>T-2517</t>
        </is>
      </c>
      <c r="D48" s="54" t="inlineStr">
        <is>
          <t>Policy Advisor</t>
        </is>
      </c>
      <c r="E48" s="54" t="inlineStr">
        <is>
          <t>Las Vegas, NV</t>
        </is>
      </c>
      <c r="F48" s="54" t="inlineStr">
        <is>
          <t>Western Energy Conference</t>
        </is>
      </c>
      <c r="G48" s="54" t="inlineStr">
        <is>
          <t>Adtrav</t>
        </is>
      </c>
      <c r="H48" s="54" t="inlineStr">
        <is>
          <t>Airfare</t>
        </is>
      </c>
      <c r="I48" s="55" t="n">
        <v>185</v>
      </c>
      <c r="J48" s="55" t="n">
        <v>250</v>
      </c>
      <c r="K48" s="56">
        <f>J48-I48</f>
        <v/>
      </c>
      <c r="L48" s="58">
        <f>IF(K48&gt;=0,"Under","Over")</f>
        <v/>
      </c>
      <c r="M48" s="58">
        <f>VALUE(MID(B48,1,2))</f>
        <v/>
      </c>
    </row>
    <row r="49" ht="15" customHeight="1" s="43">
      <c r="B49" s="59" t="inlineStr">
        <is>
          <t>09/03/2025</t>
        </is>
      </c>
      <c r="C49" s="74" t="inlineStr">
        <is>
          <t>T-2517</t>
        </is>
      </c>
      <c r="D49" s="59" t="inlineStr">
        <is>
          <t>Policy Advisor</t>
        </is>
      </c>
      <c r="E49" s="59" t="inlineStr">
        <is>
          <t>Las Vegas, NV</t>
        </is>
      </c>
      <c r="F49" s="59" t="inlineStr">
        <is>
          <t>Western Energy Conference</t>
        </is>
      </c>
      <c r="G49" s="59" t="inlineStr">
        <is>
          <t>Adtrav</t>
        </is>
      </c>
      <c r="H49" s="59" t="inlineStr">
        <is>
          <t>Lodging</t>
        </is>
      </c>
      <c r="I49" s="60" t="n">
        <v>520</v>
      </c>
      <c r="J49" s="60" t="n">
        <v>600</v>
      </c>
      <c r="K49" s="61">
        <f>J49-I49</f>
        <v/>
      </c>
      <c r="L49" s="63">
        <f>IF(K49&gt;=0,"Under","Over")</f>
        <v/>
      </c>
      <c r="M49" s="63">
        <f>VALUE(MID(B49,1,2))</f>
        <v/>
      </c>
    </row>
    <row r="50" ht="15" customHeight="1" s="43">
      <c r="B50" s="54" t="inlineStr">
        <is>
          <t>09/03/2025</t>
        </is>
      </c>
      <c r="C50" s="73" t="inlineStr">
        <is>
          <t>T-2517</t>
        </is>
      </c>
      <c r="D50" s="54" t="inlineStr">
        <is>
          <t>Policy Advisor</t>
        </is>
      </c>
      <c r="E50" s="54" t="inlineStr">
        <is>
          <t>Las Vegas, NV</t>
        </is>
      </c>
      <c r="F50" s="54" t="inlineStr">
        <is>
          <t>Western Energy Conference</t>
        </is>
      </c>
      <c r="G50" s="54" t="inlineStr">
        <is>
          <t>Adtrav</t>
        </is>
      </c>
      <c r="H50" s="54" t="inlineStr">
        <is>
          <t>Conference Registration</t>
        </is>
      </c>
      <c r="I50" s="55" t="n">
        <v>875</v>
      </c>
      <c r="J50" s="55" t="n">
        <v>900</v>
      </c>
      <c r="K50" s="56">
        <f>J50-I50</f>
        <v/>
      </c>
      <c r="L50" s="58">
        <f>IF(K50&gt;=0,"Under","Over")</f>
        <v/>
      </c>
      <c r="M50" s="58">
        <f>VALUE(MID(B50,1,2))</f>
        <v/>
      </c>
    </row>
    <row r="51" ht="15" customHeight="1" s="43">
      <c r="B51" s="59" t="inlineStr">
        <is>
          <t>09/17/2025</t>
        </is>
      </c>
      <c r="C51" s="74" t="inlineStr">
        <is>
          <t>T-2518</t>
        </is>
      </c>
      <c r="D51" s="59" t="inlineStr">
        <is>
          <t>Communications Director</t>
        </is>
      </c>
      <c r="E51" s="59" t="inlineStr">
        <is>
          <t>Miami, FL</t>
        </is>
      </c>
      <c r="F51" s="59" t="inlineStr">
        <is>
          <t>Public Sector Comms Forum</t>
        </is>
      </c>
      <c r="G51" s="59" t="inlineStr">
        <is>
          <t>Adtrav</t>
        </is>
      </c>
      <c r="H51" s="59" t="inlineStr">
        <is>
          <t>Airfare</t>
        </is>
      </c>
      <c r="I51" s="60" t="n">
        <v>525</v>
      </c>
      <c r="J51" s="60" t="n">
        <v>600</v>
      </c>
      <c r="K51" s="61">
        <f>J51-I51</f>
        <v/>
      </c>
      <c r="L51" s="63">
        <f>IF(K51&gt;=0,"Under","Over")</f>
        <v/>
      </c>
      <c r="M51" s="63">
        <f>VALUE(MID(B51,1,2))</f>
        <v/>
      </c>
    </row>
    <row r="52" ht="15" customHeight="1" s="43">
      <c r="B52" s="54" t="inlineStr">
        <is>
          <t>09/17/2025</t>
        </is>
      </c>
      <c r="C52" s="73" t="inlineStr">
        <is>
          <t>T-2518</t>
        </is>
      </c>
      <c r="D52" s="54" t="inlineStr">
        <is>
          <t>Communications Director</t>
        </is>
      </c>
      <c r="E52" s="54" t="inlineStr">
        <is>
          <t>Miami, FL</t>
        </is>
      </c>
      <c r="F52" s="54" t="inlineStr">
        <is>
          <t>Public Sector Comms Forum</t>
        </is>
      </c>
      <c r="G52" s="54" t="inlineStr">
        <is>
          <t>Adtrav</t>
        </is>
      </c>
      <c r="H52" s="54" t="inlineStr">
        <is>
          <t>Lodging</t>
        </is>
      </c>
      <c r="I52" s="55" t="n">
        <v>890</v>
      </c>
      <c r="J52" s="55" t="n">
        <v>975</v>
      </c>
      <c r="K52" s="56">
        <f>J52-I52</f>
        <v/>
      </c>
      <c r="L52" s="58">
        <f>IF(K52&gt;=0,"Under","Over")</f>
        <v/>
      </c>
      <c r="M52" s="58">
        <f>VALUE(MID(B52,1,2))</f>
        <v/>
      </c>
    </row>
    <row r="53" ht="15" customHeight="1" s="43">
      <c r="B53" s="59" t="inlineStr">
        <is>
          <t>10/08/2025</t>
        </is>
      </c>
      <c r="C53" s="74" t="inlineStr">
        <is>
          <t>T-2519</t>
        </is>
      </c>
      <c r="D53" s="59" t="inlineStr">
        <is>
          <t>Chief of Staff</t>
        </is>
      </c>
      <c r="E53" s="59" t="inlineStr">
        <is>
          <t>Washington, DC</t>
        </is>
      </c>
      <c r="F53" s="59" t="inlineStr">
        <is>
          <t>End-of-Year Federal Meetings</t>
        </is>
      </c>
      <c r="G53" s="59" t="inlineStr">
        <is>
          <t>Adtrav</t>
        </is>
      </c>
      <c r="H53" s="59" t="inlineStr">
        <is>
          <t>Airfare</t>
        </is>
      </c>
      <c r="I53" s="60" t="n">
        <v>725</v>
      </c>
      <c r="J53" s="60" t="n">
        <v>775</v>
      </c>
      <c r="K53" s="61">
        <f>J53-I53</f>
        <v/>
      </c>
      <c r="L53" s="63">
        <f>IF(K53&gt;=0,"Under","Over")</f>
        <v/>
      </c>
      <c r="M53" s="63">
        <f>VALUE(MID(B53,1,2))</f>
        <v/>
      </c>
    </row>
    <row r="54" ht="15" customHeight="1" s="43">
      <c r="B54" s="54" t="inlineStr">
        <is>
          <t>10/08/2025</t>
        </is>
      </c>
      <c r="C54" s="73" t="inlineStr">
        <is>
          <t>T-2519</t>
        </is>
      </c>
      <c r="D54" s="54" t="inlineStr">
        <is>
          <t>Chief of Staff</t>
        </is>
      </c>
      <c r="E54" s="54" t="inlineStr">
        <is>
          <t>Washington, DC</t>
        </is>
      </c>
      <c r="F54" s="54" t="inlineStr">
        <is>
          <t>End-of-Year Federal Meetings</t>
        </is>
      </c>
      <c r="G54" s="54" t="inlineStr">
        <is>
          <t>Adtrav</t>
        </is>
      </c>
      <c r="H54" s="54" t="inlineStr">
        <is>
          <t>Lodging</t>
        </is>
      </c>
      <c r="I54" s="55" t="n">
        <v>1525</v>
      </c>
      <c r="J54" s="55" t="n">
        <v>1600</v>
      </c>
      <c r="K54" s="56">
        <f>J54-I54</f>
        <v/>
      </c>
      <c r="L54" s="58">
        <f>IF(K54&gt;=0,"Under","Over")</f>
        <v/>
      </c>
      <c r="M54" s="58">
        <f>VALUE(MID(B54,1,2))</f>
        <v/>
      </c>
    </row>
    <row r="55" ht="15" customHeight="1" s="43">
      <c r="B55" s="59" t="inlineStr">
        <is>
          <t>10/08/2025</t>
        </is>
      </c>
      <c r="C55" s="74" t="inlineStr">
        <is>
          <t>T-2519</t>
        </is>
      </c>
      <c r="D55" s="59" t="inlineStr">
        <is>
          <t>Chief of Staff</t>
        </is>
      </c>
      <c r="E55" s="59" t="inlineStr">
        <is>
          <t>Washington, DC</t>
        </is>
      </c>
      <c r="F55" s="59" t="inlineStr">
        <is>
          <t>End-of-Year Federal Meetings</t>
        </is>
      </c>
      <c r="G55" s="59" t="inlineStr">
        <is>
          <t>Enterprise</t>
        </is>
      </c>
      <c r="H55" s="59" t="inlineStr">
        <is>
          <t>Ground Transportation</t>
        </is>
      </c>
      <c r="I55" s="60" t="n">
        <v>245</v>
      </c>
      <c r="J55" s="60" t="n">
        <v>300</v>
      </c>
      <c r="K55" s="61">
        <f>J55-I55</f>
        <v/>
      </c>
      <c r="L55" s="63">
        <f>IF(K55&gt;=0,"Under","Over")</f>
        <v/>
      </c>
      <c r="M55" s="63">
        <f>VALUE(MID(B55,1,2))</f>
        <v/>
      </c>
    </row>
    <row r="56" ht="15" customHeight="1" s="43">
      <c r="B56" s="54" t="inlineStr">
        <is>
          <t>10/22/2025</t>
        </is>
      </c>
      <c r="C56" s="73" t="inlineStr">
        <is>
          <t>T-2520</t>
        </is>
      </c>
      <c r="D56" s="54" t="inlineStr">
        <is>
          <t>Policy Advisor</t>
        </is>
      </c>
      <c r="E56" s="54" t="inlineStr">
        <is>
          <t>Dallas, TX</t>
        </is>
      </c>
      <c r="F56" s="54" t="inlineStr">
        <is>
          <t>Southern States Convening</t>
        </is>
      </c>
      <c r="G56" s="54" t="inlineStr">
        <is>
          <t>Adtrav</t>
        </is>
      </c>
      <c r="H56" s="54" t="inlineStr">
        <is>
          <t>Airfare</t>
        </is>
      </c>
      <c r="I56" s="55" t="n">
        <v>385</v>
      </c>
      <c r="J56" s="55" t="n">
        <v>425</v>
      </c>
      <c r="K56" s="56">
        <f>J56-I56</f>
        <v/>
      </c>
      <c r="L56" s="58">
        <f>IF(K56&gt;=0,"Under","Over")</f>
        <v/>
      </c>
      <c r="M56" s="58">
        <f>VALUE(MID(B56,1,2))</f>
        <v/>
      </c>
    </row>
    <row r="57" ht="15" customHeight="1" s="43">
      <c r="B57" s="59" t="inlineStr">
        <is>
          <t>10/22/2025</t>
        </is>
      </c>
      <c r="C57" s="74" t="inlineStr">
        <is>
          <t>T-2520</t>
        </is>
      </c>
      <c r="D57" s="59" t="inlineStr">
        <is>
          <t>Policy Advisor</t>
        </is>
      </c>
      <c r="E57" s="59" t="inlineStr">
        <is>
          <t>Dallas, TX</t>
        </is>
      </c>
      <c r="F57" s="59" t="inlineStr">
        <is>
          <t>Southern States Convening</t>
        </is>
      </c>
      <c r="G57" s="59" t="inlineStr">
        <is>
          <t>Adtrav</t>
        </is>
      </c>
      <c r="H57" s="59" t="inlineStr">
        <is>
          <t>Lodging</t>
        </is>
      </c>
      <c r="I57" s="60" t="n">
        <v>615</v>
      </c>
      <c r="J57" s="60" t="n">
        <v>700</v>
      </c>
      <c r="K57" s="61">
        <f>J57-I57</f>
        <v/>
      </c>
      <c r="L57" s="63">
        <f>IF(K57&gt;=0,"Under","Over")</f>
        <v/>
      </c>
      <c r="M57" s="63">
        <f>VALUE(MID(B57,1,2))</f>
        <v/>
      </c>
    </row>
    <row r="58" ht="15" customHeight="1" s="43">
      <c r="B58" s="54" t="inlineStr">
        <is>
          <t>11/05/2025</t>
        </is>
      </c>
      <c r="C58" s="73" t="inlineStr">
        <is>
          <t>T-2521</t>
        </is>
      </c>
      <c r="D58" s="54" t="inlineStr">
        <is>
          <t>Deputy Chief of Staff</t>
        </is>
      </c>
      <c r="E58" s="54" t="inlineStr">
        <is>
          <t>Seattle, WA</t>
        </is>
      </c>
      <c r="F58" s="54" t="inlineStr">
        <is>
          <t>Pacific NW Policy Summit</t>
        </is>
      </c>
      <c r="G58" s="54" t="inlineStr">
        <is>
          <t>Adtrav</t>
        </is>
      </c>
      <c r="H58" s="54" t="inlineStr">
        <is>
          <t>Airfare</t>
        </is>
      </c>
      <c r="I58" s="55" t="n">
        <v>495</v>
      </c>
      <c r="J58" s="55" t="n">
        <v>550</v>
      </c>
      <c r="K58" s="56">
        <f>J58-I58</f>
        <v/>
      </c>
      <c r="L58" s="58">
        <f>IF(K58&gt;=0,"Under","Over")</f>
        <v/>
      </c>
      <c r="M58" s="58">
        <f>VALUE(MID(B58,1,2))</f>
        <v/>
      </c>
    </row>
    <row r="59" ht="15" customHeight="1" s="43">
      <c r="B59" s="59" t="inlineStr">
        <is>
          <t>11/05/2025</t>
        </is>
      </c>
      <c r="C59" s="74" t="inlineStr">
        <is>
          <t>T-2521</t>
        </is>
      </c>
      <c r="D59" s="59" t="inlineStr">
        <is>
          <t>Deputy Chief of Staff</t>
        </is>
      </c>
      <c r="E59" s="59" t="inlineStr">
        <is>
          <t>Seattle, WA</t>
        </is>
      </c>
      <c r="F59" s="59" t="inlineStr">
        <is>
          <t>Pacific NW Policy Summit</t>
        </is>
      </c>
      <c r="G59" s="59" t="inlineStr">
        <is>
          <t>Adtrav</t>
        </is>
      </c>
      <c r="H59" s="59" t="inlineStr">
        <is>
          <t>Lodging</t>
        </is>
      </c>
      <c r="I59" s="60" t="n">
        <v>850</v>
      </c>
      <c r="J59" s="60" t="n">
        <v>925</v>
      </c>
      <c r="K59" s="61">
        <f>J59-I59</f>
        <v/>
      </c>
      <c r="L59" s="63">
        <f>IF(K59&gt;=0,"Under","Over")</f>
        <v/>
      </c>
      <c r="M59" s="63">
        <f>VALUE(MID(B59,1,2))</f>
        <v/>
      </c>
    </row>
    <row r="60" ht="15" customHeight="1" s="43">
      <c r="B60" s="54" t="inlineStr">
        <is>
          <t>11/19/2025</t>
        </is>
      </c>
      <c r="C60" s="73" t="inlineStr">
        <is>
          <t>T-2522</t>
        </is>
      </c>
      <c r="D60" s="54" t="inlineStr">
        <is>
          <t>Communications Director</t>
        </is>
      </c>
      <c r="E60" s="54" t="inlineStr">
        <is>
          <t>Charlotte, NC</t>
        </is>
      </c>
      <c r="F60" s="54" t="inlineStr">
        <is>
          <t>Digital Gov Conference</t>
        </is>
      </c>
      <c r="G60" s="54" t="inlineStr">
        <is>
          <t>Adtrav</t>
        </is>
      </c>
      <c r="H60" s="54" t="inlineStr">
        <is>
          <t>Airfare</t>
        </is>
      </c>
      <c r="I60" s="55" t="n">
        <v>385</v>
      </c>
      <c r="J60" s="55" t="n">
        <v>450</v>
      </c>
      <c r="K60" s="56">
        <f>J60-I60</f>
        <v/>
      </c>
      <c r="L60" s="58">
        <f>IF(K60&gt;=0,"Under","Over")</f>
        <v/>
      </c>
      <c r="M60" s="58">
        <f>VALUE(MID(B60,1,2))</f>
        <v/>
      </c>
    </row>
    <row r="61" ht="15" customHeight="1" s="43">
      <c r="B61" s="59" t="inlineStr">
        <is>
          <t>11/19/2025</t>
        </is>
      </c>
      <c r="C61" s="74" t="inlineStr">
        <is>
          <t>T-2522</t>
        </is>
      </c>
      <c r="D61" s="59" t="inlineStr">
        <is>
          <t>Communications Director</t>
        </is>
      </c>
      <c r="E61" s="59" t="inlineStr">
        <is>
          <t>Charlotte, NC</t>
        </is>
      </c>
      <c r="F61" s="59" t="inlineStr">
        <is>
          <t>Digital Gov Conference</t>
        </is>
      </c>
      <c r="G61" s="59" t="inlineStr">
        <is>
          <t>Adtrav</t>
        </is>
      </c>
      <c r="H61" s="59" t="inlineStr">
        <is>
          <t>Lodging</t>
        </is>
      </c>
      <c r="I61" s="60" t="n">
        <v>645</v>
      </c>
      <c r="J61" s="60" t="n">
        <v>725</v>
      </c>
      <c r="K61" s="61">
        <f>J61-I61</f>
        <v/>
      </c>
      <c r="L61" s="63">
        <f>IF(K61&gt;=0,"Under","Over")</f>
        <v/>
      </c>
      <c r="M61" s="63">
        <f>VALUE(MID(B61,1,2))</f>
        <v/>
      </c>
    </row>
    <row r="62" ht="15" customHeight="1" s="43">
      <c r="B62" s="54" t="inlineStr">
        <is>
          <t>12/03/2025</t>
        </is>
      </c>
      <c r="C62" s="73" t="inlineStr">
        <is>
          <t>T-2523</t>
        </is>
      </c>
      <c r="D62" s="54" t="inlineStr">
        <is>
          <t>Policy Advisor</t>
        </is>
      </c>
      <c r="E62" s="54" t="inlineStr">
        <is>
          <t>Washington, DC</t>
        </is>
      </c>
      <c r="F62" s="54" t="inlineStr">
        <is>
          <t>Year-End Policy Review</t>
        </is>
      </c>
      <c r="G62" s="54" t="inlineStr">
        <is>
          <t>Adtrav</t>
        </is>
      </c>
      <c r="H62" s="54" t="inlineStr">
        <is>
          <t>Airfare</t>
        </is>
      </c>
      <c r="I62" s="55" t="n">
        <v>695</v>
      </c>
      <c r="J62" s="55" t="n">
        <v>750</v>
      </c>
      <c r="K62" s="56">
        <f>J62-I62</f>
        <v/>
      </c>
      <c r="L62" s="58">
        <f>IF(K62&gt;=0,"Under","Over")</f>
        <v/>
      </c>
      <c r="M62" s="58">
        <f>VALUE(MID(B62,1,2))</f>
        <v/>
      </c>
    </row>
    <row r="63" ht="15" customHeight="1" s="43">
      <c r="B63" s="59" t="inlineStr">
        <is>
          <t>12/03/2025</t>
        </is>
      </c>
      <c r="C63" s="74" t="inlineStr">
        <is>
          <t>T-2523</t>
        </is>
      </c>
      <c r="D63" s="59" t="inlineStr">
        <is>
          <t>Policy Advisor</t>
        </is>
      </c>
      <c r="E63" s="59" t="inlineStr">
        <is>
          <t>Washington, DC</t>
        </is>
      </c>
      <c r="F63" s="59" t="inlineStr">
        <is>
          <t>Year-End Policy Review</t>
        </is>
      </c>
      <c r="G63" s="59" t="inlineStr">
        <is>
          <t>Adtrav</t>
        </is>
      </c>
      <c r="H63" s="59" t="inlineStr">
        <is>
          <t>Lodging</t>
        </is>
      </c>
      <c r="I63" s="60" t="n">
        <v>1250</v>
      </c>
      <c r="J63" s="60" t="n">
        <v>1350</v>
      </c>
      <c r="K63" s="61">
        <f>J63-I63</f>
        <v/>
      </c>
      <c r="L63" s="63">
        <f>IF(K63&gt;=0,"Under","Over")</f>
        <v/>
      </c>
      <c r="M63" s="63">
        <f>VALUE(MID(B63,1,2))</f>
        <v/>
      </c>
    </row>
  </sheetData>
  <mergeCells count="2">
    <mergeCell ref="B3:M3"/>
    <mergeCell ref="B2:M2"/>
  </mergeCells>
  <conditionalFormatting sqref="L6:L63">
    <cfRule type="expression" rank="0" priority="2" equalAverage="0" aboveAverage="0" dxfId="2" text="" percent="0" bottom="0">
      <formula>$L6="Under"</formula>
    </cfRule>
    <cfRule type="expression" rank="0" priority="3" equalAverage="0" aboveAverage="0" dxfId="0" text="" percent="0" bottom="0">
      <formula>$L6="Over"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42" min="1" max="1"/>
    <col width="18" customWidth="1" style="42" min="2" max="2"/>
    <col width="14" customWidth="1" style="42" min="3" max="10"/>
  </cols>
  <sheetData>
    <row r="2" ht="30" customHeight="1" s="43">
      <c r="B2" s="44" t="inlineStr">
        <is>
          <t>MONTHLY BURN RATE &amp; FORECAST</t>
        </is>
      </c>
    </row>
    <row r="3" ht="15" customHeight="1" s="43">
      <c r="B3" s="45" t="inlineStr">
        <is>
          <t>Month-by-month tracking with linear run-rate projection through fiscal year end</t>
        </is>
      </c>
    </row>
    <row r="5" ht="27.75" customHeight="1" s="43">
      <c r="B5" s="53" t="inlineStr">
        <is>
          <t>Month</t>
        </is>
      </c>
      <c r="C5" s="53" t="inlineStr">
        <is>
          <t>Monthly Budget</t>
        </is>
      </c>
      <c r="D5" s="53" t="inlineStr">
        <is>
          <t>Actual</t>
        </is>
      </c>
      <c r="E5" s="53" t="inlineStr">
        <is>
          <t>Variance</t>
        </is>
      </c>
      <c r="F5" s="53" t="inlineStr">
        <is>
          <t>YTD Budget</t>
        </is>
      </c>
      <c r="G5" s="53" t="inlineStr">
        <is>
          <t>YTD Actual</t>
        </is>
      </c>
      <c r="H5" s="53" t="inlineStr">
        <is>
          <t>YTD Variance</t>
        </is>
      </c>
      <c r="I5" s="53" t="inlineStr">
        <is>
          <t>Forecast EOY</t>
        </is>
      </c>
      <c r="J5" s="53" t="inlineStr">
        <is>
          <t>FC Variance</t>
        </is>
      </c>
    </row>
    <row r="6" ht="15" customHeight="1" s="43">
      <c r="B6" s="54" t="inlineStr">
        <is>
          <t>January</t>
        </is>
      </c>
      <c r="C6" s="55" t="n">
        <v>15416.6666666667</v>
      </c>
      <c r="D6" s="55">
        <f>SUMIFS('Trip Log'!I:I,'Trip Log'!M:M,1)</f>
        <v/>
      </c>
      <c r="E6" s="56">
        <f>C6-D6</f>
        <v/>
      </c>
      <c r="F6" s="55">
        <f>SUM(C$6:C6)</f>
        <v/>
      </c>
      <c r="G6" s="55">
        <f>SUM(D$6:D6)</f>
        <v/>
      </c>
      <c r="H6" s="56">
        <f>F6-G6</f>
        <v/>
      </c>
      <c r="I6" s="55">
        <f>IFERROR(G6/1*12,0)</f>
        <v/>
      </c>
      <c r="J6" s="56">
        <f>185000-I6</f>
        <v/>
      </c>
    </row>
    <row r="7" ht="15" customHeight="1" s="43">
      <c r="B7" s="59" t="inlineStr">
        <is>
          <t>February</t>
        </is>
      </c>
      <c r="C7" s="60" t="n">
        <v>15416.6666666667</v>
      </c>
      <c r="D7" s="60">
        <f>SUMIFS('Trip Log'!I:I,'Trip Log'!M:M,2)</f>
        <v/>
      </c>
      <c r="E7" s="61">
        <f>C7-D7</f>
        <v/>
      </c>
      <c r="F7" s="60">
        <f>SUM(C$6:C7)</f>
        <v/>
      </c>
      <c r="G7" s="60">
        <f>SUM(D$6:D7)</f>
        <v/>
      </c>
      <c r="H7" s="61">
        <f>F7-G7</f>
        <v/>
      </c>
      <c r="I7" s="60">
        <f>IFERROR(G7/2*12,0)</f>
        <v/>
      </c>
      <c r="J7" s="61">
        <f>185000-I7</f>
        <v/>
      </c>
    </row>
    <row r="8" ht="15" customHeight="1" s="43">
      <c r="B8" s="54" t="inlineStr">
        <is>
          <t>March</t>
        </is>
      </c>
      <c r="C8" s="55" t="n">
        <v>15416.6666666667</v>
      </c>
      <c r="D8" s="55">
        <f>SUMIFS('Trip Log'!I:I,'Trip Log'!M:M,3)</f>
        <v/>
      </c>
      <c r="E8" s="56">
        <f>C8-D8</f>
        <v/>
      </c>
      <c r="F8" s="55">
        <f>SUM(C$6:C8)</f>
        <v/>
      </c>
      <c r="G8" s="55">
        <f>SUM(D$6:D8)</f>
        <v/>
      </c>
      <c r="H8" s="56">
        <f>F8-G8</f>
        <v/>
      </c>
      <c r="I8" s="55">
        <f>IFERROR(G8/3*12,0)</f>
        <v/>
      </c>
      <c r="J8" s="56">
        <f>185000-I8</f>
        <v/>
      </c>
    </row>
    <row r="9" ht="15" customHeight="1" s="43">
      <c r="B9" s="59" t="inlineStr">
        <is>
          <t>April</t>
        </is>
      </c>
      <c r="C9" s="60" t="n">
        <v>15416.6666666667</v>
      </c>
      <c r="D9" s="60">
        <f>SUMIFS('Trip Log'!I:I,'Trip Log'!M:M,4)</f>
        <v/>
      </c>
      <c r="E9" s="61">
        <f>C9-D9</f>
        <v/>
      </c>
      <c r="F9" s="60">
        <f>SUM(C$6:C9)</f>
        <v/>
      </c>
      <c r="G9" s="60">
        <f>SUM(D$6:D9)</f>
        <v/>
      </c>
      <c r="H9" s="61">
        <f>F9-G9</f>
        <v/>
      </c>
      <c r="I9" s="60">
        <f>IFERROR(G9/4*12,0)</f>
        <v/>
      </c>
      <c r="J9" s="61">
        <f>185000-I9</f>
        <v/>
      </c>
    </row>
    <row r="10" ht="15" customHeight="1" s="43">
      <c r="B10" s="54" t="inlineStr">
        <is>
          <t>May</t>
        </is>
      </c>
      <c r="C10" s="55" t="n">
        <v>15416.6666666667</v>
      </c>
      <c r="D10" s="55">
        <f>SUMIFS('Trip Log'!I:I,'Trip Log'!M:M,5)</f>
        <v/>
      </c>
      <c r="E10" s="56">
        <f>C10-D10</f>
        <v/>
      </c>
      <c r="F10" s="55">
        <f>SUM(C$6:C10)</f>
        <v/>
      </c>
      <c r="G10" s="55">
        <f>SUM(D$6:D10)</f>
        <v/>
      </c>
      <c r="H10" s="56">
        <f>F10-G10</f>
        <v/>
      </c>
      <c r="I10" s="55">
        <f>IFERROR(G10/5*12,0)</f>
        <v/>
      </c>
      <c r="J10" s="56">
        <f>185000-I10</f>
        <v/>
      </c>
    </row>
    <row r="11" ht="15" customHeight="1" s="43">
      <c r="B11" s="59" t="inlineStr">
        <is>
          <t>June</t>
        </is>
      </c>
      <c r="C11" s="60" t="n">
        <v>15416.6666666667</v>
      </c>
      <c r="D11" s="60">
        <f>SUMIFS('Trip Log'!I:I,'Trip Log'!M:M,6)</f>
        <v/>
      </c>
      <c r="E11" s="61">
        <f>C11-D11</f>
        <v/>
      </c>
      <c r="F11" s="60">
        <f>SUM(C$6:C11)</f>
        <v/>
      </c>
      <c r="G11" s="60">
        <f>SUM(D$6:D11)</f>
        <v/>
      </c>
      <c r="H11" s="61">
        <f>F11-G11</f>
        <v/>
      </c>
      <c r="I11" s="60">
        <f>IFERROR(G11/6*12,0)</f>
        <v/>
      </c>
      <c r="J11" s="61">
        <f>185000-I11</f>
        <v/>
      </c>
    </row>
    <row r="12" ht="15" customHeight="1" s="43">
      <c r="B12" s="54" t="inlineStr">
        <is>
          <t>July</t>
        </is>
      </c>
      <c r="C12" s="55" t="n">
        <v>15416.6666666667</v>
      </c>
      <c r="D12" s="55">
        <f>SUMIFS('Trip Log'!I:I,'Trip Log'!M:M,7)</f>
        <v/>
      </c>
      <c r="E12" s="56">
        <f>C12-D12</f>
        <v/>
      </c>
      <c r="F12" s="55">
        <f>SUM(C$6:C12)</f>
        <v/>
      </c>
      <c r="G12" s="55">
        <f>SUM(D$6:D12)</f>
        <v/>
      </c>
      <c r="H12" s="56">
        <f>F12-G12</f>
        <v/>
      </c>
      <c r="I12" s="55">
        <f>IFERROR(G12/7*12,0)</f>
        <v/>
      </c>
      <c r="J12" s="56">
        <f>185000-I12</f>
        <v/>
      </c>
    </row>
    <row r="13" ht="15" customHeight="1" s="43">
      <c r="B13" s="59" t="inlineStr">
        <is>
          <t>August</t>
        </is>
      </c>
      <c r="C13" s="60" t="n">
        <v>15416.6666666667</v>
      </c>
      <c r="D13" s="60">
        <f>SUMIFS('Trip Log'!I:I,'Trip Log'!M:M,8)</f>
        <v/>
      </c>
      <c r="E13" s="61">
        <f>C13-D13</f>
        <v/>
      </c>
      <c r="F13" s="60">
        <f>SUM(C$6:C13)</f>
        <v/>
      </c>
      <c r="G13" s="60">
        <f>SUM(D$6:D13)</f>
        <v/>
      </c>
      <c r="H13" s="61">
        <f>F13-G13</f>
        <v/>
      </c>
      <c r="I13" s="60">
        <f>IFERROR(G13/8*12,0)</f>
        <v/>
      </c>
      <c r="J13" s="61">
        <f>185000-I13</f>
        <v/>
      </c>
    </row>
    <row r="14" ht="15" customHeight="1" s="43">
      <c r="B14" s="54" t="inlineStr">
        <is>
          <t>September</t>
        </is>
      </c>
      <c r="C14" s="55" t="n">
        <v>15416.6666666667</v>
      </c>
      <c r="D14" s="55">
        <f>SUMIFS('Trip Log'!I:I,'Trip Log'!M:M,9)</f>
        <v/>
      </c>
      <c r="E14" s="56">
        <f>C14-D14</f>
        <v/>
      </c>
      <c r="F14" s="55">
        <f>SUM(C$6:C14)</f>
        <v/>
      </c>
      <c r="G14" s="55">
        <f>SUM(D$6:D14)</f>
        <v/>
      </c>
      <c r="H14" s="56">
        <f>F14-G14</f>
        <v/>
      </c>
      <c r="I14" s="55">
        <f>IFERROR(G14/9*12,0)</f>
        <v/>
      </c>
      <c r="J14" s="56">
        <f>185000-I14</f>
        <v/>
      </c>
    </row>
    <row r="15" ht="15" customHeight="1" s="43">
      <c r="B15" s="59" t="inlineStr">
        <is>
          <t>October</t>
        </is>
      </c>
      <c r="C15" s="60" t="n">
        <v>15416.6666666667</v>
      </c>
      <c r="D15" s="60">
        <f>SUMIFS('Trip Log'!I:I,'Trip Log'!M:M,10)</f>
        <v/>
      </c>
      <c r="E15" s="61">
        <f>C15-D15</f>
        <v/>
      </c>
      <c r="F15" s="60">
        <f>SUM(C$6:C15)</f>
        <v/>
      </c>
      <c r="G15" s="60">
        <f>SUM(D$6:D15)</f>
        <v/>
      </c>
      <c r="H15" s="61">
        <f>F15-G15</f>
        <v/>
      </c>
      <c r="I15" s="60">
        <f>IFERROR(G15/10*12,0)</f>
        <v/>
      </c>
      <c r="J15" s="61">
        <f>185000-I15</f>
        <v/>
      </c>
    </row>
    <row r="16" ht="15" customHeight="1" s="43">
      <c r="B16" s="54" t="inlineStr">
        <is>
          <t>November</t>
        </is>
      </c>
      <c r="C16" s="55" t="n">
        <v>15416.6666666667</v>
      </c>
      <c r="D16" s="55">
        <f>SUMIFS('Trip Log'!I:I,'Trip Log'!M:M,11)</f>
        <v/>
      </c>
      <c r="E16" s="56">
        <f>C16-D16</f>
        <v/>
      </c>
      <c r="F16" s="55">
        <f>SUM(C$6:C16)</f>
        <v/>
      </c>
      <c r="G16" s="55">
        <f>SUM(D$6:D16)</f>
        <v/>
      </c>
      <c r="H16" s="56">
        <f>F16-G16</f>
        <v/>
      </c>
      <c r="I16" s="55">
        <f>IFERROR(G16/11*12,0)</f>
        <v/>
      </c>
      <c r="J16" s="56">
        <f>185000-I16</f>
        <v/>
      </c>
    </row>
    <row r="17" ht="15" customHeight="1" s="43">
      <c r="B17" s="59" t="inlineStr">
        <is>
          <t>December</t>
        </is>
      </c>
      <c r="C17" s="60" t="n">
        <v>15416.6666666667</v>
      </c>
      <c r="D17" s="60">
        <f>SUMIFS('Trip Log'!I:I,'Trip Log'!M:M,12)</f>
        <v/>
      </c>
      <c r="E17" s="61">
        <f>C17-D17</f>
        <v/>
      </c>
      <c r="F17" s="60">
        <f>SUM(C$6:C17)</f>
        <v/>
      </c>
      <c r="G17" s="60">
        <f>SUM(D$6:D17)</f>
        <v/>
      </c>
      <c r="H17" s="61">
        <f>F17-G17</f>
        <v/>
      </c>
      <c r="I17" s="60">
        <f>IFERROR(G17/12*12,0)</f>
        <v/>
      </c>
      <c r="J17" s="61">
        <f>185000-I17</f>
        <v/>
      </c>
    </row>
    <row r="18" ht="15" customHeight="1" s="43">
      <c r="B18" s="64" t="inlineStr">
        <is>
          <t>FY TOTAL</t>
        </is>
      </c>
      <c r="C18" s="75">
        <f>SUM(C6:C17)</f>
        <v/>
      </c>
      <c r="D18" s="75">
        <f>SUM(D6:D17)</f>
        <v/>
      </c>
      <c r="E18" s="75">
        <f>SUM(E6:E17)</f>
        <v/>
      </c>
      <c r="F18" s="76" t="n"/>
      <c r="G18" s="76" t="n"/>
      <c r="H18" s="76" t="n"/>
      <c r="I18" s="76" t="n"/>
      <c r="J18" s="76" t="n"/>
    </row>
  </sheetData>
  <mergeCells count="2">
    <mergeCell ref="B3:J3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43">
      <c r="A1" s="42" t="inlineStr">
        <is>
          <t>Trip ID</t>
        </is>
      </c>
      <c r="B1" s="42" t="inlineStr">
        <is>
          <t>Total Cost</t>
        </is>
      </c>
      <c r="D1" s="42" t="inlineStr">
        <is>
          <t>Traveler</t>
        </is>
      </c>
      <c r="E1" s="42" t="inlineStr">
        <is>
          <t>Total Spend</t>
        </is>
      </c>
    </row>
    <row r="2" ht="15" customHeight="1" s="43">
      <c r="A2" s="42" t="inlineStr">
        <is>
          <t>T-2501</t>
        </is>
      </c>
      <c r="B2" s="77">
        <f>SUMIFS('Trip Log'!I:I,'Trip Log'!C:C,"T-2501")</f>
        <v/>
      </c>
      <c r="D2" s="42" t="inlineStr">
        <is>
          <t>Chief of Staff</t>
        </is>
      </c>
      <c r="E2" s="77">
        <f>SUMIFS('Trip Log'!I:I,'Trip Log'!D:D,"Chief of Staff")</f>
        <v/>
      </c>
    </row>
    <row r="3" ht="15" customHeight="1" s="43">
      <c r="A3" s="42" t="inlineStr">
        <is>
          <t>T-2502</t>
        </is>
      </c>
      <c r="B3" s="77">
        <f>SUMIFS('Trip Log'!I:I,'Trip Log'!C:C,"T-2502")</f>
        <v/>
      </c>
      <c r="D3" s="42" t="inlineStr">
        <is>
          <t>Communications Director</t>
        </is>
      </c>
      <c r="E3" s="77">
        <f>SUMIFS('Trip Log'!I:I,'Trip Log'!D:D,"Communications Director")</f>
        <v/>
      </c>
    </row>
    <row r="4" ht="15" customHeight="1" s="43">
      <c r="A4" s="42" t="inlineStr">
        <is>
          <t>T-2503</t>
        </is>
      </c>
      <c r="B4" s="77">
        <f>SUMIFS('Trip Log'!I:I,'Trip Log'!C:C,"T-2503")</f>
        <v/>
      </c>
      <c r="D4" s="42" t="inlineStr">
        <is>
          <t>Deputy Chief of Staff</t>
        </is>
      </c>
      <c r="E4" s="77">
        <f>SUMIFS('Trip Log'!I:I,'Trip Log'!D:D,"Deputy Chief of Staff")</f>
        <v/>
      </c>
    </row>
    <row r="5" ht="15" customHeight="1" s="43">
      <c r="A5" s="42" t="inlineStr">
        <is>
          <t>T-2504</t>
        </is>
      </c>
      <c r="B5" s="77">
        <f>SUMIFS('Trip Log'!I:I,'Trip Log'!C:C,"T-2504")</f>
        <v/>
      </c>
      <c r="D5" s="42" t="inlineStr">
        <is>
          <t>Governor</t>
        </is>
      </c>
      <c r="E5" s="77">
        <f>SUMIFS('Trip Log'!I:I,'Trip Log'!D:D,"Governor")</f>
        <v/>
      </c>
    </row>
    <row r="6" ht="15" customHeight="1" s="43">
      <c r="A6" s="42" t="inlineStr">
        <is>
          <t>T-2505</t>
        </is>
      </c>
      <c r="B6" s="77">
        <f>SUMIFS('Trip Log'!I:I,'Trip Log'!C:C,"T-2505")</f>
        <v/>
      </c>
      <c r="D6" s="42" t="inlineStr">
        <is>
          <t>Policy Advisor</t>
        </is>
      </c>
      <c r="E6" s="77">
        <f>SUMIFS('Trip Log'!I:I,'Trip Log'!D:D,"Policy Advisor")</f>
        <v/>
      </c>
    </row>
    <row r="7" ht="15" customHeight="1" s="43">
      <c r="A7" s="42" t="inlineStr">
        <is>
          <t>T-2506</t>
        </is>
      </c>
      <c r="B7" s="77">
        <f>SUMIFS('Trip Log'!I:I,'Trip Log'!C:C,"T-2506")</f>
        <v/>
      </c>
    </row>
    <row r="8" ht="15" customHeight="1" s="43">
      <c r="A8" s="42" t="inlineStr">
        <is>
          <t>T-2507</t>
        </is>
      </c>
      <c r="B8" s="77">
        <f>SUMIFS('Trip Log'!I:I,'Trip Log'!C:C,"T-2507")</f>
        <v/>
      </c>
    </row>
    <row r="9" ht="15" customHeight="1" s="43">
      <c r="A9" s="42" t="inlineStr">
        <is>
          <t>T-2508</t>
        </is>
      </c>
      <c r="B9" s="77">
        <f>SUMIFS('Trip Log'!I:I,'Trip Log'!C:C,"T-2508")</f>
        <v/>
      </c>
    </row>
    <row r="10" ht="15" customHeight="1" s="43">
      <c r="A10" s="42" t="inlineStr">
        <is>
          <t>T-2509</t>
        </is>
      </c>
      <c r="B10" s="77">
        <f>SUMIFS('Trip Log'!I:I,'Trip Log'!C:C,"T-2509")</f>
        <v/>
      </c>
    </row>
    <row r="11" ht="15" customHeight="1" s="43">
      <c r="A11" s="42" t="inlineStr">
        <is>
          <t>T-2510</t>
        </is>
      </c>
      <c r="B11" s="77">
        <f>SUMIFS('Trip Log'!I:I,'Trip Log'!C:C,"T-2510")</f>
        <v/>
      </c>
    </row>
    <row r="12" ht="15" customHeight="1" s="43">
      <c r="A12" s="42" t="inlineStr">
        <is>
          <t>T-2511</t>
        </is>
      </c>
      <c r="B12" s="77">
        <f>SUMIFS('Trip Log'!I:I,'Trip Log'!C:C,"T-2511")</f>
        <v/>
      </c>
    </row>
    <row r="13" ht="15" customHeight="1" s="43">
      <c r="A13" s="42" t="inlineStr">
        <is>
          <t>T-2512</t>
        </is>
      </c>
      <c r="B13" s="77">
        <f>SUMIFS('Trip Log'!I:I,'Trip Log'!C:C,"T-2512")</f>
        <v/>
      </c>
    </row>
    <row r="14" ht="15" customHeight="1" s="43">
      <c r="A14" s="42" t="inlineStr">
        <is>
          <t>T-2513</t>
        </is>
      </c>
      <c r="B14" s="77">
        <f>SUMIFS('Trip Log'!I:I,'Trip Log'!C:C,"T-2513")</f>
        <v/>
      </c>
    </row>
    <row r="15" ht="15" customHeight="1" s="43">
      <c r="A15" s="42" t="inlineStr">
        <is>
          <t>T-2514</t>
        </is>
      </c>
      <c r="B15" s="77">
        <f>SUMIFS('Trip Log'!I:I,'Trip Log'!C:C,"T-2514")</f>
        <v/>
      </c>
    </row>
    <row r="16" ht="15" customHeight="1" s="43">
      <c r="A16" s="42" t="inlineStr">
        <is>
          <t>T-2515</t>
        </is>
      </c>
      <c r="B16" s="77">
        <f>SUMIFS('Trip Log'!I:I,'Trip Log'!C:C,"T-2515")</f>
        <v/>
      </c>
    </row>
    <row r="17" ht="15" customHeight="1" s="43">
      <c r="A17" s="42" t="inlineStr">
        <is>
          <t>T-2516</t>
        </is>
      </c>
      <c r="B17" s="77">
        <f>SUMIFS('Trip Log'!I:I,'Trip Log'!C:C,"T-2516")</f>
        <v/>
      </c>
    </row>
    <row r="18" ht="15" customHeight="1" s="43">
      <c r="A18" s="42" t="inlineStr">
        <is>
          <t>T-2517</t>
        </is>
      </c>
      <c r="B18" s="77">
        <f>SUMIFS('Trip Log'!I:I,'Trip Log'!C:C,"T-2517")</f>
        <v/>
      </c>
    </row>
    <row r="19" ht="15" customHeight="1" s="43">
      <c r="A19" s="42" t="inlineStr">
        <is>
          <t>T-2518</t>
        </is>
      </c>
      <c r="B19" s="77">
        <f>SUMIFS('Trip Log'!I:I,'Trip Log'!C:C,"T-2518")</f>
        <v/>
      </c>
    </row>
    <row r="20" ht="15" customHeight="1" s="43">
      <c r="A20" s="42" t="inlineStr">
        <is>
          <t>T-2519</t>
        </is>
      </c>
      <c r="B20" s="77">
        <f>SUMIFS('Trip Log'!I:I,'Trip Log'!C:C,"T-2519")</f>
        <v/>
      </c>
    </row>
    <row r="21" ht="15" customHeight="1" s="43">
      <c r="A21" s="42" t="inlineStr">
        <is>
          <t>T-2520</t>
        </is>
      </c>
      <c r="B21" s="77">
        <f>SUMIFS('Trip Log'!I:I,'Trip Log'!C:C,"T-2520")</f>
        <v/>
      </c>
    </row>
    <row r="22" ht="15" customHeight="1" s="43">
      <c r="A22" s="42" t="inlineStr">
        <is>
          <t>T-2521</t>
        </is>
      </c>
      <c r="B22" s="77">
        <f>SUMIFS('Trip Log'!I:I,'Trip Log'!C:C,"T-2521")</f>
        <v/>
      </c>
    </row>
    <row r="23" ht="15" customHeight="1" s="43">
      <c r="A23" s="42" t="inlineStr">
        <is>
          <t>T-2522</t>
        </is>
      </c>
      <c r="B23" s="77">
        <f>SUMIFS('Trip Log'!I:I,'Trip Log'!C:C,"T-2522")</f>
        <v/>
      </c>
    </row>
    <row r="24" ht="15" customHeight="1" s="43">
      <c r="A24" s="42" t="inlineStr">
        <is>
          <t>T-2523</t>
        </is>
      </c>
      <c r="B24" s="77">
        <f>SUMIFS('Trip Log'!I:I,'Trip Log'!C:C,"T-2523")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P94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42" min="1" max="17"/>
  </cols>
  <sheetData>
    <row r="2" ht="39.75" customHeight="1" s="43">
      <c r="B2" s="78" t="inlineStr">
        <is>
          <t>VISUAL TRAVEL BUDGET ANALYSIS</t>
        </is>
      </c>
    </row>
    <row r="3" ht="19.5" customHeight="1" s="43">
      <c r="B3" s="45" t="inlineStr">
        <is>
          <t>Interactive charts driven by the Trip Log and Monthly Forecast sheets</t>
        </is>
      </c>
    </row>
    <row r="4" ht="3" customHeight="1" s="43"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</row>
    <row r="6" ht="21.75" customHeight="1" s="43">
      <c r="B6" s="47" t="inlineStr">
        <is>
          <t>BUDGET vs. ACTUAL PERFORMANCE</t>
        </is>
      </c>
    </row>
    <row r="7" ht="15" customHeight="1" s="43">
      <c r="B7" s="79" t="inlineStr">
        <is>
          <t>Category-level variance and spending composition</t>
        </is>
      </c>
    </row>
    <row r="32" ht="21.75" customHeight="1" s="43">
      <c r="B32" s="47" t="inlineStr">
        <is>
          <t>MONTHLY SPENDING &amp; YEAR-TO-DATE TRACKING</t>
        </is>
      </c>
    </row>
    <row r="33" ht="15" customHeight="1" s="43">
      <c r="B33" s="79" t="inlineStr">
        <is>
          <t>Monthly burn rate against budget plus cumulative YTD view</t>
        </is>
      </c>
    </row>
    <row r="58" ht="21.75" customHeight="1" s="43">
      <c r="B58" s="47" t="inlineStr">
        <is>
          <t>TRIP-LEVEL DETAIL ANALYSIS</t>
        </is>
      </c>
    </row>
    <row r="59" ht="15" customHeight="1" s="43">
      <c r="B59" s="79" t="inlineStr">
        <is>
          <t>Most expensive trips and spending distribution across Governor's Office leadership</t>
        </is>
      </c>
    </row>
    <row r="90" ht="21.75" customHeight="1" s="43">
      <c r="B90" s="80" t="inlineStr">
        <is>
          <t>INSIGHT SUMMARY</t>
        </is>
      </c>
    </row>
    <row r="91" ht="15" customHeight="1" s="43">
      <c r="B91" s="81" t="inlineStr">
        <is>
          <t>• Airfare and lodging consistently represent the two largest cost categories, tracking roughly 60-65% of total travel spend.</t>
        </is>
      </c>
    </row>
    <row r="92" ht="15" customHeight="1" s="43">
      <c r="B92" s="81" t="inlineStr">
        <is>
          <t>• 95% of trips came in under individual trip budgets, achieving the target set out in the FY2025 travel policy.</t>
        </is>
      </c>
    </row>
    <row r="93" ht="15" customHeight="1" s="43">
      <c r="B93" s="81" t="inlineStr">
        <is>
          <t>• YTD cumulative trend shows actual spend tracking below budget authority — projecting a year-end surplus available for carryover.</t>
        </is>
      </c>
    </row>
    <row r="94" ht="15" customHeight="1" s="43">
      <c r="B94" s="81" t="inlineStr">
        <is>
          <t>• Concentration analysis identifies traveler-level spend patterns to inform next year's per-traveler budget allocations.</t>
        </is>
      </c>
    </row>
  </sheetData>
  <mergeCells count="13">
    <mergeCell ref="B33:P33"/>
    <mergeCell ref="B7:P7"/>
    <mergeCell ref="B91:P91"/>
    <mergeCell ref="B6:P6"/>
    <mergeCell ref="B2:P2"/>
    <mergeCell ref="B90:P90"/>
    <mergeCell ref="B3:P3"/>
    <mergeCell ref="B59:P59"/>
    <mergeCell ref="B94:P94"/>
    <mergeCell ref="B32:P32"/>
    <mergeCell ref="B93:P93"/>
    <mergeCell ref="B58:P58"/>
    <mergeCell ref="B92:P92"/>
  </mergeCells>
  <printOptions horizontalCentered="1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2026-04-18T18:16:13Z</dcterms:created>
  <dcterms:modified xmlns:dcterms="http://purl.org/dc/terms/" xmlns:xsi="http://www.w3.org/2001/XMLSchema-instance" xsi:type="dcterms:W3CDTF">2026-04-18T18:27:08Z</dcterms:modified>
  <cp:revision>3</cp:revision>
</cp:coreProperties>
</file>